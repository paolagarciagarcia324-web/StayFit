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8d5d0fd3f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2ab759db7c94a5f"/>
    <x:sheet xmlns:r="http://schemas.openxmlformats.org/officeDocument/2006/relationships" name="Requisitos_Funcionales" sheetId="2" r:id="R5af18d691e4849cd"/>
    <x:sheet xmlns:r="http://schemas.openxmlformats.org/officeDocument/2006/relationships" name="Historias_Usuario" sheetId="3" r:id="Rd335f8bb32d648ee"/>
    <x:sheet xmlns:r="http://schemas.openxmlformats.org/officeDocument/2006/relationships" name="Criterios_Aceptacion" sheetId="4" r:id="Rf9fc73971b6249bf"/>
    <x:sheet xmlns:r="http://schemas.openxmlformats.org/officeDocument/2006/relationships" name="Matriz_Trazabilidad" sheetId="5" r:id="Ra69e1fedf06f43e2"/>
    <x:sheet xmlns:r="http://schemas.openxmlformats.org/officeDocument/2006/relationships" name="Roles_Modulos" sheetId="6" r:id="R8c2da8bb65b2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0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E7D32"/>
      </x:patternFill>
    </x:fill>
    <x:fill>
      <x:patternFill patternType="solid">
        <x:fgColor rgb="E2F0D9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1a7f1066a4ca3" /><Relationship Type="http://schemas.openxmlformats.org/officeDocument/2006/relationships/theme" Target="/xl/theme/theme1.xml" Id="R414f011d2e4740e7" /><Relationship Type="http://schemas.openxmlformats.org/officeDocument/2006/relationships/sharedStrings" Target="/xl/sharedStrings.xml" Id="Rd0e25299cc164bad" /><Relationship Type="http://schemas.openxmlformats.org/officeDocument/2006/relationships/worksheet" Target="/xl/worksheets/sheet1.xml" Id="Re2ab759db7c94a5f" /><Relationship Type="http://schemas.openxmlformats.org/officeDocument/2006/relationships/worksheet" Target="/xl/worksheets/sheet2.xml" Id="R5af18d691e4849cd" /><Relationship Type="http://schemas.openxmlformats.org/officeDocument/2006/relationships/worksheet" Target="/xl/worksheets/sheet3.xml" Id="Rd335f8bb32d648ee" /><Relationship Type="http://schemas.openxmlformats.org/officeDocument/2006/relationships/worksheet" Target="/xl/worksheets/sheet4.xml" Id="Rf9fc73971b6249bf" /><Relationship Type="http://schemas.openxmlformats.org/officeDocument/2006/relationships/worksheet" Target="/xl/worksheets/sheet5.xml" Id="Ra69e1fedf06f43e2" /><Relationship Type="http://schemas.openxmlformats.org/officeDocument/2006/relationships/worksheet" Target="/xl/worksheets/sheet6.xml" Id="R8c2da8bb65b2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36" t="str">
        <x:v>StayFit | Historias de usuario, criterios y trazabilidad actualizada</x:v>
      </x:c>
      <x:c r="B1" s="36"/>
      <x:c r="C1" s="36"/>
      <x:c r="D1" s="36"/>
      <x:c r="E1" s="36"/>
      <x:c r="F1" s="36"/>
      <x:c r="G1" s="36"/>
      <x:c r="H1" s="36"/>
      <x:c r="I1" s="28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8" t="str">
        <x:v>Proyecto</x:v>
      </x:c>
      <x:c r="B3" s="28" t="str">
        <x:v>StayFit</x:v>
      </x:c>
      <x:c r="C3" s="28" t="str"/>
      <x:c r="D3" s="28" t="str"/>
      <x:c r="E3" s="38" t="str">
        <x:v>Fecha de actualización</x:v>
      </x:c>
      <x:c r="F3" s="28" t="str">
        <x:v>26/05/2026</x:v>
      </x:c>
      <x:c r="G3" s="28" t="str"/>
      <x:c r="H3" s="28" t="str"/>
      <x:c r="I3" s="28"/>
      <x:c r="J3" s="28"/>
    </x:row>
    <x:row r="4">
      <x:c r="A4" s="38" t="str">
        <x:v>Base de datos oficial</x:v>
      </x:c>
      <x:c r="B4" s="28" t="str">
        <x:v>stayfit</x:v>
      </x:c>
      <x:c r="C4" s="28" t="str"/>
      <x:c r="D4" s="28" t="str"/>
      <x:c r="E4" s="38" t="str">
        <x:v>Color aplicado</x:v>
      </x:c>
      <x:c r="F4" s="28" t="str">
        <x:v>Verde estándar</x:v>
      </x:c>
      <x:c r="G4" s="28" t="str"/>
      <x:c r="H4" s="28" t="str"/>
      <x:c r="I4" s="28"/>
      <x:c r="J4" s="28"/>
    </x:row>
    <x:row r="5">
      <x:c r="A5" s="38" t="str">
        <x:v>Convención de usuarios en BD</x:v>
      </x:c>
      <x:c r="B5" s="28" t="str">
        <x:v>Tabla user relacionada con roles mediante user_roles</x:v>
      </x:c>
      <x:c r="C5" s="28" t="str"/>
      <x:c r="D5" s="28" t="str"/>
      <x:c r="E5" s="38" t="str">
        <x:v>Total hojas</x:v>
      </x:c>
      <x:c r="F5" s="28" t="n">
        <x:v>6</x:v>
      </x:c>
      <x:c r="G5" s="28" t="str"/>
      <x:c r="H5" s="28" t="str"/>
      <x:c r="I5" s="28"/>
      <x:c r="J5" s="28"/>
    </x:row>
    <x:row r="6">
      <x:c r="A6" s="38" t="str">
        <x:v>Versión</x:v>
      </x:c>
      <x:c r="B6" s="28" t="str">
        <x:v>Actualizada según flujo final de compra, cupos y validación administrativa</x:v>
      </x:c>
      <x:c r="C6" s="28" t="str"/>
      <x:c r="D6" s="28" t="str"/>
      <x:c r="E6" s="38" t="str">
        <x:v>Documento base</x:v>
      </x:c>
      <x:c r="F6" s="28" t="str">
        <x:v>Historias de Usuario(2).xlsx</x:v>
      </x:c>
      <x:c r="G6" s="28" t="str"/>
      <x:c r="H6" s="28" t="str"/>
      <x:c r="I6" s="28"/>
      <x:c r="J6" s="28"/>
    </x:row>
    <x:row r="7">
      <x:c r="A7" s="38" t="str">
        <x:v>Total requisitos funcionales</x:v>
      </x:c>
      <x:c r="B7" s="28" t="n">
        <x:f>COUNTA(Requisitos_Funcionales!A4:A58)</x:f>
        <x:v>55</x:v>
      </x:c>
      <x:c r="C7" s="28" t="str"/>
      <x:c r="D7" s="28" t="str"/>
      <x:c r="E7" s="38" t="str">
        <x:v>Estado</x:v>
      </x:c>
      <x:c r="F7" s="28" t="str">
        <x:v>Listo para revisión y entrega</x:v>
      </x:c>
      <x:c r="G7" s="28" t="str"/>
      <x:c r="H7" s="28" t="str"/>
      <x:c r="I7" s="28"/>
      <x:c r="J7" s="28"/>
    </x:row>
    <x:row r="8">
      <x:c r="A8" s="38" t="str">
        <x:v>Total historias de usuario</x:v>
      </x:c>
      <x:c r="B8" s="28" t="n">
        <x:f>COUNTA(Historias_Usuario!A4:A58)</x:f>
        <x:v>55</x:v>
      </x:c>
      <x:c r="C8" s="28" t="str"/>
      <x:c r="D8" s="28" t="str"/>
      <x:c r="E8" s="28" t="str"/>
      <x:c r="F8" s="28" t="str"/>
      <x:c r="G8" s="28" t="str"/>
      <x:c r="H8" s="28" t="str"/>
      <x:c r="I8" s="28"/>
      <x:c r="J8" s="28"/>
    </x:row>
    <x:row r="9">
      <x:c r="A9" s="38" t="str">
        <x:v>Total criterios de aceptación</x:v>
      </x:c>
      <x:c r="B9" s="28" t="n">
        <x:f>COUNTA(Criterios_Aceptacion!A4:A168)</x:f>
        <x:v>165</x:v>
      </x:c>
      <x:c r="C9" s="28" t="str"/>
      <x:c r="D9" s="28" t="str"/>
      <x:c r="E9" s="28" t="str"/>
      <x:c r="F9" s="28" t="str"/>
      <x:c r="G9" s="28" t="str"/>
      <x:c r="H9" s="28" t="str"/>
      <x:c r="I9" s="28"/>
      <x:c r="J9" s="28"/>
    </x:row>
    <x:row r="10">
      <x:c r="A10" s="38" t="str">
        <x:v>Actores</x:v>
      </x:c>
      <x:c r="B10" s="28" t="str">
        <x:v>Visitante / Usuario interesado, Administrador, Coach, Cliente, Sistema</x:v>
      </x:c>
      <x:c r="C10" s="28" t="str"/>
      <x:c r="D10" s="28" t="str"/>
      <x:c r="E10" s="28" t="str"/>
      <x:c r="F10" s="28" t="str"/>
      <x:c r="G10" s="28" t="str"/>
      <x:c r="H10" s="28" t="str"/>
      <x:c r="I10" s="28"/>
      <x:c r="J10" s="28"/>
    </x:row>
    <x:row r="11">
      <x:c r="A11" s="38" t="str">
        <x:v>Cambios clave</x:v>
      </x:c>
      <x:c r="B11" s="28" t="str">
        <x:v>Consulta de planes, validación de cupo, pago/comprobante, solicitud de compra, validación administrativa, activación de cliente y módulos completos.</x:v>
      </x:c>
      <x:c r="C11" s="28" t="str"/>
      <x:c r="D11" s="28" t="str"/>
      <x:c r="E11" s="28" t="str"/>
      <x:c r="F11" s="28" t="str"/>
      <x:c r="G11" s="28" t="str"/>
      <x:c r="H11" s="28" t="str"/>
      <x:c r="I11" s="28"/>
      <x:c r="J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39" t="str">
        <x:v>Módulo</x:v>
      </x:c>
      <x:c r="B13" s="39" t="str">
        <x:v>Requisitos</x:v>
      </x:c>
      <x:c r="C13" s="39" t="str">
        <x:v>Prioridad predominante</x:v>
      </x:c>
      <x:c r="D13" s="28"/>
      <x:c r="E13" s="28"/>
      <x:c r="F13" s="28"/>
      <x:c r="G13" s="28"/>
      <x:c r="H13" s="28"/>
      <x:c r="I13" s="28"/>
      <x:c r="J13" s="28"/>
    </x:row>
    <x:row r="14">
      <x:c r="A14" s="30" t="str">
        <x:v>Usuarios y acceso</x:v>
      </x:c>
      <x:c r="B14" s="30" t="n">
        <x:f>COUNTIF(Requisitos_Funcionales!D4:D58,"Usuarios y acceso")</x:f>
        <x:v>6</x:v>
      </x:c>
      <x:c r="C14" s="30" t="str">
        <x:v>Alta / Media</x:v>
      </x:c>
      <x:c r="D14" s="28"/>
      <x:c r="E14" s="28"/>
      <x:c r="F14" s="28"/>
      <x:c r="G14" s="28"/>
      <x:c r="H14" s="28"/>
      <x:c r="I14" s="28"/>
      <x:c r="J14" s="28"/>
    </x:row>
    <x:row r="15">
      <x:c r="A15" s="30" t="str">
        <x:v>Perfil y clientes</x:v>
      </x:c>
      <x:c r="B15" s="30" t="n">
        <x:f>COUNTIF(Requisitos_Funcionales!D4:D58,"Perfil y clientes")</x:f>
        <x:v>3</x:v>
      </x:c>
      <x:c r="C15" s="30" t="str">
        <x:v>Alta / Media</x:v>
      </x:c>
      <x:c r="D15" s="28"/>
      <x:c r="E15" s="28"/>
      <x:c r="F15" s="28"/>
      <x:c r="G15" s="28"/>
      <x:c r="H15" s="28"/>
      <x:c r="I15" s="28"/>
      <x:c r="J15" s="28"/>
    </x:row>
    <x:row r="16">
      <x:c r="A16" s="30" t="str">
        <x:v>Entrenamiento y contenido virtual</x:v>
      </x:c>
      <x:c r="B16" s="30" t="n">
        <x:f>COUNTIF(Requisitos_Funcionales!D4:D58,"Entrenamiento y contenido virtual")</x:f>
        <x:v>7</x:v>
      </x:c>
      <x:c r="C16" s="30" t="str">
        <x:v>Alta / Media</x:v>
      </x:c>
      <x:c r="D16" s="28"/>
      <x:c r="E16" s="28"/>
      <x:c r="F16" s="28"/>
      <x:c r="G16" s="28"/>
      <x:c r="H16" s="28"/>
      <x:c r="I16" s="28"/>
      <x:c r="J16" s="28"/>
    </x:row>
    <x:row r="17">
      <x:c r="A17" s="30" t="str">
        <x:v>Nutrición</x:v>
      </x:c>
      <x:c r="B17" s="30" t="n">
        <x:f>COUNTIF(Requisitos_Funcionales!D4:D58,"Nutrición")</x:f>
        <x:v>5</x:v>
      </x:c>
      <x:c r="C17" s="30" t="str">
        <x:v>Alta / Media</x:v>
      </x:c>
      <x:c r="D17" s="28"/>
      <x:c r="E17" s="28"/>
      <x:c r="F17" s="28"/>
      <x:c r="G17" s="28"/>
      <x:c r="H17" s="28"/>
      <x:c r="I17" s="28"/>
      <x:c r="J17" s="28"/>
    </x:row>
    <x:row r="18">
      <x:c r="A18" s="30" t="str">
        <x:v>Progreso</x:v>
      </x:c>
      <x:c r="B18" s="30" t="n">
        <x:f>COUNTIF(Requisitos_Funcionales!D4:D58,"Progreso")</x:f>
        <x:v>6</x:v>
      </x:c>
      <x:c r="C18" s="30" t="str">
        <x:v>Alta / Media</x:v>
      </x:c>
      <x:c r="D18" s="28"/>
      <x:c r="E18" s="28"/>
      <x:c r="F18" s="28"/>
      <x:c r="G18" s="28"/>
      <x:c r="H18" s="28"/>
      <x:c r="I18" s="28"/>
      <x:c r="J18" s="28"/>
    </x:row>
    <x:row r="19">
      <x:c r="A19" s="30" t="str">
        <x:v>Pagos, solicitudes, cupos y acceso</x:v>
      </x:c>
      <x:c r="B19" s="30" t="n">
        <x:f>COUNTIF(Requisitos_Funcionales!D4:D58,"Pagos, solicitudes, cupos y acceso")</x:f>
        <x:v>8</x:v>
      </x:c>
      <x:c r="C19" s="30" t="str">
        <x:v>Alta / Media</x:v>
      </x:c>
      <x:c r="D19" s="28"/>
      <x:c r="E19" s="28"/>
      <x:c r="F19" s="28"/>
      <x:c r="G19" s="28"/>
      <x:c r="H19" s="28"/>
      <x:c r="I19" s="28"/>
      <x:c r="J19" s="28"/>
    </x:row>
    <x:row r="20">
      <x:c r="A20" s="30" t="str">
        <x:v>Comunicación y notificaciones</x:v>
      </x:c>
      <x:c r="B20" s="30" t="n">
        <x:f>COUNTIF(Requisitos_Funcionales!D4:D58,"Comunicación y notificaciones")</x:f>
        <x:v>8</x:v>
      </x:c>
      <x:c r="C20" s="30" t="str">
        <x:v>Alta / Media</x:v>
      </x:c>
      <x:c r="D20" s="28"/>
      <x:c r="E20" s="28"/>
      <x:c r="F20" s="28"/>
      <x:c r="G20" s="28"/>
      <x:c r="H20" s="28"/>
      <x:c r="I20" s="28"/>
      <x:c r="J20" s="28"/>
    </x:row>
    <x:row r="21">
      <x:c r="A21" s="30" t="str">
        <x:v>Agenda, sesiones y eventos</x:v>
      </x:c>
      <x:c r="B21" s="30" t="n">
        <x:f>COUNTIF(Requisitos_Funcionales!D4:D58,"Agenda, sesiones y eventos")</x:f>
        <x:v>6</x:v>
      </x:c>
      <x:c r="C21" s="30" t="str">
        <x:v>Alta / Media</x:v>
      </x:c>
      <x:c r="D21" s="28"/>
      <x:c r="E21" s="28"/>
      <x:c r="F21" s="28"/>
      <x:c r="G21" s="28"/>
      <x:c r="H21" s="28"/>
      <x:c r="I21" s="28"/>
      <x:c r="J21" s="28"/>
    </x:row>
    <x:row r="22">
      <x:c r="A22" s="30" t="str">
        <x:v>Reportes y analítica</x:v>
      </x:c>
      <x:c r="B22" s="30" t="n">
        <x:f>COUNTIF(Requisitos_Funcionales!D4:D58,"Reportes y analítica")</x:f>
        <x:v>4</x:v>
      </x:c>
      <x:c r="C22" s="30" t="str">
        <x:v>Alta / Media</x:v>
      </x:c>
      <x:c r="D22" s="28"/>
      <x:c r="E22" s="28"/>
      <x:c r="F22" s="28"/>
      <x:c r="G22" s="28"/>
      <x:c r="H22" s="28"/>
      <x:c r="I22" s="28"/>
      <x:c r="J22" s="28"/>
    </x:row>
    <x:row r="23">
      <x:c r="A23" s="30" t="str">
        <x:v>Instituciones</x:v>
      </x:c>
      <x:c r="B23" s="30" t="n">
        <x:f>COUNTIF(Requisitos_Funcionales!D4:D58,"Instituciones")</x:f>
        <x:v>2</x:v>
      </x:c>
      <x:c r="C23" s="30" t="str">
        <x:v>Alta / Media</x:v>
      </x:c>
      <x:c r="D23" s="28"/>
      <x:c r="E23" s="28"/>
      <x:c r="F23" s="28"/>
      <x:c r="G23" s="28"/>
      <x:c r="H23" s="28"/>
      <x:c r="I23" s="28"/>
      <x:c r="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24" hidden="0" customWidth="1"/>
    <x:col min="4" max="4" width="28" hidden="0" customWidth="1"/>
    <x:col min="5" max="5" width="12" hidden="0" customWidth="1"/>
    <x:col min="6" max="6" width="64" hidden="0" customWidth="1"/>
    <x:col min="7" max="7" width="48" hidden="0" customWidth="1"/>
    <x:col min="8" max="8" width="14" hidden="0" customWidth="1"/>
  </x:cols>
  <x:sheetData>
    <x:row r="1" ht="26" customHeight="1">
      <x:c r="A1" s="36" t="str">
        <x:v>Requisitos funcionales actualizados según flujo final StayFit</x:v>
      </x:c>
      <x:c r="B1" s="36"/>
      <x:c r="C1" s="36"/>
      <x:c r="D1" s="36"/>
      <x:c r="E1" s="36"/>
      <x:c r="F1" s="36"/>
      <x:c r="G1" s="36"/>
      <x:c r="H1" s="36"/>
      <x:c r="I1" s="28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9" t="str">
        <x:v>ID</x:v>
      </x:c>
      <x:c r="B3" s="39" t="str">
        <x:v>Título</x:v>
      </x:c>
      <x:c r="C3" s="39" t="str">
        <x:v>Actor principal</x:v>
      </x:c>
      <x:c r="D3" s="39" t="str">
        <x:v>Módulo</x:v>
      </x:c>
      <x:c r="E3" s="39" t="str">
        <x:v>Prioridad</x:v>
      </x:c>
      <x:c r="F3" s="39" t="str">
        <x:v>Descripción funcional</x:v>
      </x:c>
      <x:c r="G3" s="39" t="str">
        <x:v>BD relacionada</x:v>
      </x:c>
      <x:c r="H3" s="39" t="str">
        <x:v>Estado</x:v>
      </x:c>
      <x:c r="I3" s="28"/>
      <x:c r="J3" s="28"/>
    </x:row>
    <x:row r="4" ht="48" customHeight="1">
      <x:c r="A4" s="30" t="str">
        <x:v>RF-001</x:v>
      </x:c>
      <x:c r="B4" s="30" t="str">
        <x:v>Consulta, selección y solicitud de compra de plan</x:v>
      </x:c>
      <x:c r="C4" s="30" t="str">
        <x:v>Visitante / Usuario interesado</x:v>
      </x:c>
      <x:c r="D4" s="30" t="str">
        <x:v>Usuarios y acceso</x:v>
      </x:c>
      <x:c r="E4" s="30" t="str">
        <x:v>Alta</x:v>
      </x:c>
      <x:c r="F4" s="30" t="str">
        <x:v>El sistema debe permitir que una persona consulte planes o programas, seleccione uno, valide disponibilidad de cupo, diligencie un formulario básico, registre el pago o comprobante y genere una solicitud de compra en estado PENDIENTE. Esta acción no crea todavía un cliente activo.</x:v>
      </x:c>
      <x:c r="G4" s="30" t="str">
        <x:v>planes, vw_cupos_planes, solicitudes_compra, pagos</x:v>
      </x:c>
      <x:c r="H4" s="30" t="str">
        <x:v>Actualizado</x:v>
      </x:c>
      <x:c r="I4" s="28"/>
      <x:c r="J4" s="28"/>
    </x:row>
    <x:row r="5" ht="48" customHeight="1">
      <x:c r="A5" s="30" t="str">
        <x:v>RF-002</x:v>
      </x:c>
      <x:c r="B5" s="30" t="str">
        <x:v>Registro administrativo de clientes</x:v>
      </x:c>
      <x:c r="C5" s="30" t="str">
        <x:v>Administrador</x:v>
      </x:c>
      <x:c r="D5" s="30" t="str">
        <x:v>Usuarios y acceso</x:v>
      </x:c>
      <x:c r="E5" s="30" t="str">
        <x:v>Alta</x:v>
      </x:c>
      <x:c r="F5" s="30" t="str">
        <x:v>El sistema debe permitir al administrador crear o completar cuentas de clientes desde el panel administrativo para altas asistidas, instituciones, campañas o corrección de datos después de una compra validada.</x:v>
      </x:c>
      <x:c r="G5" s="30" t="str">
        <x:v>user, roles, user_roles, clientes, instituciones</x:v>
      </x:c>
      <x:c r="H5" s="30" t="str">
        <x:v>Actualizado</x:v>
      </x:c>
      <x:c r="I5" s="28"/>
      <x:c r="J5" s="28"/>
    </x:row>
    <x:row r="6" ht="48" customHeight="1">
      <x:c r="A6" s="30" t="str">
        <x:v>RF-003</x:v>
      </x:c>
      <x:c r="B6" s="30" t="str">
        <x:v>Registro de coaches</x:v>
      </x:c>
      <x:c r="C6" s="30" t="str">
        <x:v>Administrador</x:v>
      </x:c>
      <x:c r="D6" s="30" t="str">
        <x:v>Usuarios y acceso</x:v>
      </x:c>
      <x:c r="E6" s="30" t="str">
        <x:v>Alta</x:v>
      </x:c>
      <x:c r="F6" s="30" t="str">
        <x:v>El sistema debe permitir registrar coaches con datos personales, especialidad, credenciales y estado operativo.</x:v>
      </x:c>
      <x:c r="G6" s="30" t="str">
        <x:v>user, roles, user_roles, coaches</x:v>
      </x:c>
      <x:c r="H6" s="30" t="str">
        <x:v>Actualizado</x:v>
      </x:c>
      <x:c r="I6" s="28"/>
      <x:c r="J6" s="28"/>
    </x:row>
    <x:row r="7" ht="48" customHeight="1">
      <x:c r="A7" s="30" t="str">
        <x:v>RF-004</x:v>
      </x:c>
      <x:c r="B7" s="30" t="str">
        <x:v>Inicio de sesión</x:v>
      </x:c>
      <x:c r="C7" s="30" t="str">
        <x:v>Usuario</x:v>
      </x:c>
      <x:c r="D7" s="30" t="str">
        <x:v>Usuarios y acceso</x:v>
      </x:c>
      <x:c r="E7" s="30" t="str">
        <x:v>Alta</x:v>
      </x:c>
      <x:c r="F7" s="30" t="str">
        <x:v>El sistema debe permitir que administradores, coaches y clientes autenticados ingresen con correo y contraseña según su rol y permisos.</x:v>
      </x:c>
      <x:c r="G7" s="30" t="str">
        <x:v>user, roles, user_roles</x:v>
      </x:c>
      <x:c r="H7" s="30" t="str">
        <x:v>Actualizado</x:v>
      </x:c>
      <x:c r="I7" s="28"/>
      <x:c r="J7" s="28"/>
    </x:row>
    <x:row r="8" ht="48" customHeight="1">
      <x:c r="A8" s="30" t="str">
        <x:v>RF-005</x:v>
      </x:c>
      <x:c r="B8" s="30" t="str">
        <x:v>Recuperación de contraseña</x:v>
      </x:c>
      <x:c r="C8" s="30" t="str">
        <x:v>Usuario</x:v>
      </x:c>
      <x:c r="D8" s="30" t="str">
        <x:v>Usuarios y acceso</x:v>
      </x:c>
      <x:c r="E8" s="30" t="str">
        <x:v>Alta</x:v>
      </x:c>
      <x:c r="F8" s="30" t="str">
        <x:v>El sistema debe permitir recuperar el acceso mediante token temporal seguro.</x:v>
      </x:c>
      <x:c r="G8" s="30" t="str">
        <x:v>user, tokens_recuperacion</x:v>
      </x:c>
      <x:c r="H8" s="30" t="str">
        <x:v>Actualizado</x:v>
      </x:c>
      <x:c r="I8" s="28"/>
      <x:c r="J8" s="28"/>
    </x:row>
    <x:row r="9" ht="48" customHeight="1">
      <x:c r="A9" s="30" t="str">
        <x:v>RF-006</x:v>
      </x:c>
      <x:c r="B9" s="30" t="str">
        <x:v>Gestión de usuarios</x:v>
      </x:c>
      <x:c r="C9" s="30" t="str">
        <x:v>Administrador</x:v>
      </x:c>
      <x:c r="D9" s="30" t="str">
        <x:v>Usuarios y acceso</x:v>
      </x:c>
      <x:c r="E9" s="30" t="str">
        <x:v>Alta</x:v>
      </x:c>
      <x:c r="F9" s="30" t="str">
        <x:v>El sistema debe permitir consultar, actualizar, activar, inactivar, bloquear y administrar usuarios según su rol.</x:v>
      </x:c>
      <x:c r="G9" s="30" t="str">
        <x:v>user, roles, user_roles, clientes, coaches</x:v>
      </x:c>
      <x:c r="H9" s="30" t="str">
        <x:v>Actualizado</x:v>
      </x:c>
      <x:c r="I9" s="28"/>
      <x:c r="J9" s="28"/>
    </x:row>
    <x:row r="10" ht="48" customHeight="1">
      <x:c r="A10" s="30" t="str">
        <x:v>RF-007</x:v>
      </x:c>
      <x:c r="B10" s="30" t="str">
        <x:v>Actualización de datos personales</x:v>
      </x:c>
      <x:c r="C10" s="30" t="str">
        <x:v>Cliente</x:v>
      </x:c>
      <x:c r="D10" s="30" t="str">
        <x:v>Perfil y clientes</x:v>
      </x:c>
      <x:c r="E10" s="30" t="str">
        <x:v>Alta</x:v>
      </x:c>
      <x:c r="F10" s="30" t="str">
        <x:v>El sistema debe permitir al cliente actualizar su información personal y de contacto desde su perfil.</x:v>
      </x:c>
      <x:c r="G10" s="30" t="str">
        <x:v>user, clientes</x:v>
      </x:c>
      <x:c r="H10" s="30" t="str">
        <x:v>Actualizado</x:v>
      </x:c>
      <x:c r="I10" s="28"/>
      <x:c r="J10" s="28"/>
    </x:row>
    <x:row r="11" ht="48" customHeight="1">
      <x:c r="A11" s="30" t="str">
        <x:v>RF-008</x:v>
      </x:c>
      <x:c r="B11" s="30" t="str">
        <x:v>Actualización de datos físicos</x:v>
      </x:c>
      <x:c r="C11" s="30" t="str">
        <x:v>Cliente</x:v>
      </x:c>
      <x:c r="D11" s="30" t="str">
        <x:v>Perfil y clientes</x:v>
      </x:c>
      <x:c r="E11" s="30" t="str">
        <x:v>Alta</x:v>
      </x:c>
      <x:c r="F11" s="30" t="str">
        <x:v>El sistema debe permitir al cliente actualizar datos físicos relevantes para el seguimiento de su proceso.</x:v>
      </x:c>
      <x:c r="G11" s="30" t="str">
        <x:v>clientes, registros_progreso</x:v>
      </x:c>
      <x:c r="H11" s="30" t="str">
        <x:v>Actualizado</x:v>
      </x:c>
      <x:c r="I11" s="28"/>
      <x:c r="J11" s="28"/>
    </x:row>
    <x:row r="12" ht="48" customHeight="1">
      <x:c r="A12" s="30" t="str">
        <x:v>RF-009</x:v>
      </x:c>
      <x:c r="B12" s="30" t="str">
        <x:v>Asignación de coach</x:v>
      </x:c>
      <x:c r="C12" s="30" t="str">
        <x:v>Administrador</x:v>
      </x:c>
      <x:c r="D12" s="30" t="str">
        <x:v>Perfil y clientes</x:v>
      </x:c>
      <x:c r="E12" s="30" t="str">
        <x:v>Alta</x:v>
      </x:c>
      <x:c r="F12" s="30" t="str">
        <x:v>El sistema debe permitir asignar un coach a un cliente activo cuando el plan adquirido lo requiera.</x:v>
      </x:c>
      <x:c r="G12" s="30" t="str">
        <x:v>clientes, coaches, planes_cliente</x:v>
      </x:c>
      <x:c r="H12" s="30" t="str">
        <x:v>Actualizado</x:v>
      </x:c>
      <x:c r="I12" s="28"/>
      <x:c r="J12" s="28"/>
    </x:row>
    <x:row r="13" ht="48" customHeight="1">
      <x:c r="A13" s="30" t="str">
        <x:v>RF-010</x:v>
      </x:c>
      <x:c r="B13" s="30" t="str">
        <x:v>Creación de plan de entrenamiento</x:v>
      </x:c>
      <x:c r="C13" s="30" t="str">
        <x:v>Coach</x:v>
      </x:c>
      <x:c r="D13" s="30" t="str">
        <x:v>Entrenamiento y contenido virtual</x:v>
      </x:c>
      <x:c r="E13" s="30" t="str">
        <x:v>Alta</x:v>
      </x:c>
      <x:c r="F13" s="30" t="str">
        <x:v>El sistema debe permitir al coach crear planes de entrenamiento alineados con objetivos del cliente y con acceso activo al módulo correspondiente.</x:v>
      </x:c>
      <x:c r="G13" s="30" t="str">
        <x:v>planes_entrenamiento, clientes, coaches, acceso_cliente_modulo</x:v>
      </x:c>
      <x:c r="H13" s="30" t="str">
        <x:v>Actualizado</x:v>
      </x:c>
      <x:c r="I13" s="28"/>
      <x:c r="J13" s="28"/>
    </x:row>
    <x:row r="14" ht="48" customHeight="1">
      <x:c r="A14" s="30" t="str">
        <x:v>RF-011</x:v>
      </x:c>
      <x:c r="B14" s="30" t="str">
        <x:v>Asignación de rutinas</x:v>
      </x:c>
      <x:c r="C14" s="30" t="str">
        <x:v>Coach</x:v>
      </x:c>
      <x:c r="D14" s="30" t="str">
        <x:v>Entrenamiento y contenido virtual</x:v>
      </x:c>
      <x:c r="E14" s="30" t="str">
        <x:v>Alta</x:v>
      </x:c>
      <x:c r="F14" s="30" t="str">
        <x:v>El sistema debe permitir asignar rutinas específicas dentro del plan de entrenamiento de cada cliente.</x:v>
      </x:c>
      <x:c r="G14" s="30" t="str">
        <x:v>rutinas, rutina_ejercicios, ejercicios, planes_entrenamiento</x:v>
      </x:c>
      <x:c r="H14" s="30" t="str">
        <x:v>Actualizado</x:v>
      </x:c>
      <x:c r="I14" s="28"/>
      <x:c r="J14" s="28"/>
    </x:row>
    <x:row r="15" ht="48" customHeight="1">
      <x:c r="A15" s="30" t="str">
        <x:v>RF-012</x:v>
      </x:c>
      <x:c r="B15" s="30" t="str">
        <x:v>Carga de material de entrenamiento y videos</x:v>
      </x:c>
      <x:c r="C15" s="30" t="str">
        <x:v>Coach / Administrador</x:v>
      </x:c>
      <x:c r="D15" s="30" t="str">
        <x:v>Entrenamiento y contenido virtual</x:v>
      </x:c>
      <x:c r="E15" s="30" t="str">
        <x:v>Media</x:v>
      </x:c>
      <x:c r="F15" s="30" t="str">
        <x:v>El sistema debe permitir adjuntar material de apoyo, videos, imágenes, documentos o enlaces a ejercicios, rutinas o programas virtuales.</x:v>
      </x:c>
      <x:c r="G15" s="30" t="str">
        <x:v>material_entrenamiento, ejercicios, programas_virtuales, categorias_video, videos</x:v>
      </x:c>
      <x:c r="H15" s="30" t="str">
        <x:v>Actualizado</x:v>
      </x:c>
      <x:c r="I15" s="28"/>
      <x:c r="J15" s="28"/>
    </x:row>
    <x:row r="16" ht="48" customHeight="1">
      <x:c r="A16" s="30" t="str">
        <x:v>RF-013</x:v>
      </x:c>
      <x:c r="B16" s="30" t="str">
        <x:v>Visualización de rutinas y programa virtual</x:v>
      </x:c>
      <x:c r="C16" s="30" t="str">
        <x:v>Cliente</x:v>
      </x:c>
      <x:c r="D16" s="30" t="str">
        <x:v>Entrenamiento y contenido virtual</x:v>
      </x:c>
      <x:c r="E16" s="30" t="str">
        <x:v>Alta</x:v>
      </x:c>
      <x:c r="F16" s="30" t="str">
        <x:v>El sistema debe permitir al cliente consultar rutinas, ejercicios, material y videos del programa virtual cuando su plan tenga acceso vigente al módulo correspondiente.</x:v>
      </x:c>
      <x:c r="G16" s="30" t="str">
        <x:v>rutinas, ejercicios, material_entrenamiento, programas_virtuales, videos, acceso_cliente_modulo</x:v>
      </x:c>
      <x:c r="H16" s="30" t="str">
        <x:v>Actualizado</x:v>
      </x:c>
      <x:c r="I16" s="28"/>
      <x:c r="J16" s="28"/>
    </x:row>
    <x:row r="17" ht="48" customHeight="1">
      <x:c r="A17" s="30" t="str">
        <x:v>RF-014</x:v>
      </x:c>
      <x:c r="B17" s="30" t="str">
        <x:v>Registro de rutinas completadas y avance en videos</x:v>
      </x:c>
      <x:c r="C17" s="30" t="str">
        <x:v>Cliente</x:v>
      </x:c>
      <x:c r="D17" s="30" t="str">
        <x:v>Entrenamiento y contenido virtual</x:v>
      </x:c>
      <x:c r="E17" s="30" t="str">
        <x:v>Alta</x:v>
      </x:c>
      <x:c r="F17" s="30" t="str">
        <x:v>El sistema debe permitir registrar el cumplimiento de rutinas y el progreso de videos del programa virtual.</x:v>
      </x:c>
      <x:c r="G17" s="30" t="str">
        <x:v>registro_rutinas, progreso_videos, rutinas, videos</x:v>
      </x:c>
      <x:c r="H17" s="30" t="str">
        <x:v>Actualizado</x:v>
      </x:c>
      <x:c r="I17" s="28"/>
      <x:c r="J17" s="28"/>
    </x:row>
    <x:row r="18" ht="48" customHeight="1">
      <x:c r="A18" s="30" t="str">
        <x:v>RF-015</x:v>
      </x:c>
      <x:c r="B18" s="30" t="str">
        <x:v>Modificación de rutinas</x:v>
      </x:c>
      <x:c r="C18" s="30" t="str">
        <x:v>Coach</x:v>
      </x:c>
      <x:c r="D18" s="30" t="str">
        <x:v>Entrenamiento y contenido virtual</x:v>
      </x:c>
      <x:c r="E18" s="30" t="str">
        <x:v>Alta</x:v>
      </x:c>
      <x:c r="F18" s="30" t="str">
        <x:v>El sistema debe permitir actualizar rutinas existentes según la evolución del cliente.</x:v>
      </x:c>
      <x:c r="G18" s="30" t="str">
        <x:v>rutinas, rutina_ejercicios, planes_entrenamiento</x:v>
      </x:c>
      <x:c r="H18" s="30" t="str">
        <x:v>Actualizado</x:v>
      </x:c>
      <x:c r="I18" s="28"/>
      <x:c r="J18" s="28"/>
    </x:row>
    <x:row r="19" ht="48" customHeight="1">
      <x:c r="A19" s="30" t="str">
        <x:v>RF-016</x:v>
      </x:c>
      <x:c r="B19" s="30" t="str">
        <x:v>Programación de entrenamientos</x:v>
      </x:c>
      <x:c r="C19" s="30" t="str">
        <x:v>Coach</x:v>
      </x:c>
      <x:c r="D19" s="30" t="str">
        <x:v>Entrenamiento y contenido virtual</x:v>
      </x:c>
      <x:c r="E19" s="30" t="str">
        <x:v>Alta</x:v>
      </x:c>
      <x:c r="F19" s="30" t="str">
        <x:v>El sistema debe permitir programar sesiones de entrenamiento individuales o grupales asociadas al proceso del cliente.</x:v>
      </x:c>
      <x:c r="G19" s="30" t="str">
        <x:v>sesiones, sesion_participantes, clientes, coaches</x:v>
      </x:c>
      <x:c r="H19" s="30" t="str">
        <x:v>Actualizado</x:v>
      </x:c>
      <x:c r="I19" s="28"/>
      <x:c r="J19" s="28"/>
    </x:row>
    <x:row r="20" ht="48" customHeight="1">
      <x:c r="A20" s="30" t="str">
        <x:v>RF-017</x:v>
      </x:c>
      <x:c r="B20" s="30" t="str">
        <x:v>Creación de plan nutricional</x:v>
      </x:c>
      <x:c r="C20" s="30" t="str">
        <x:v>Coach</x:v>
      </x:c>
      <x:c r="D20" s="30" t="str">
        <x:v>Nutrición</x:v>
      </x:c>
      <x:c r="E20" s="30" t="str">
        <x:v>Alta</x:v>
      </x:c>
      <x:c r="F20" s="30" t="str">
        <x:v>El sistema debe permitir crear planes nutricionales de acuerdo con objetivos y necesidades del cliente.</x:v>
      </x:c>
      <x:c r="G20" s="30" t="str">
        <x:v>planes_nutricionales, clientes, coaches, acceso_cliente_modulo</x:v>
      </x:c>
      <x:c r="H20" s="30" t="str">
        <x:v>Actualizado</x:v>
      </x:c>
      <x:c r="I20" s="28"/>
      <x:c r="J20" s="28"/>
    </x:row>
    <x:row r="21" ht="48" customHeight="1">
      <x:c r="A21" s="30" t="str">
        <x:v>RF-018</x:v>
      </x:c>
      <x:c r="B21" s="30" t="str">
        <x:v>Asignación de plan nutricional</x:v>
      </x:c>
      <x:c r="C21" s="30" t="str">
        <x:v>Coach</x:v>
      </x:c>
      <x:c r="D21" s="30" t="str">
        <x:v>Nutrición</x:v>
      </x:c>
      <x:c r="E21" s="30" t="str">
        <x:v>Alta</x:v>
      </x:c>
      <x:c r="F21" s="30" t="str">
        <x:v>El sistema debe permitir asignar al cliente un plan nutricional vigente dentro de su proceso activo.</x:v>
      </x:c>
      <x:c r="G21" s="30" t="str">
        <x:v>planes_nutricionales, clientes</x:v>
      </x:c>
      <x:c r="H21" s="30" t="str">
        <x:v>Actualizado</x:v>
      </x:c>
      <x:c r="I21" s="28"/>
      <x:c r="J21" s="28"/>
    </x:row>
    <x:row r="22" ht="48" customHeight="1">
      <x:c r="A22" s="30" t="str">
        <x:v>RF-019</x:v>
      </x:c>
      <x:c r="B22" s="30" t="str">
        <x:v>Visualización de plan nutricional</x:v>
      </x:c>
      <x:c r="C22" s="30" t="str">
        <x:v>Cliente</x:v>
      </x:c>
      <x:c r="D22" s="30" t="str">
        <x:v>Nutrición</x:v>
      </x:c>
      <x:c r="E22" s="30" t="str">
        <x:v>Alta</x:v>
      </x:c>
      <x:c r="F22" s="30" t="str">
        <x:v>El sistema debe permitir consultar el detalle del plan nutricional vigente cuando el cliente tenga acceso activo al módulo de nutrición.</x:v>
      </x:c>
      <x:c r="G22" s="30" t="str">
        <x:v>planes_nutricionales, comidas, acceso_cliente_modulo</x:v>
      </x:c>
      <x:c r="H22" s="30" t="str">
        <x:v>Actualizado</x:v>
      </x:c>
      <x:c r="I22" s="28"/>
      <x:c r="J22" s="28"/>
    </x:row>
    <x:row r="23" ht="48" customHeight="1">
      <x:c r="A23" s="30" t="str">
        <x:v>RF-020</x:v>
      </x:c>
      <x:c r="B23" s="30" t="str">
        <x:v>Actualización de plan nutricional</x:v>
      </x:c>
      <x:c r="C23" s="30" t="str">
        <x:v>Coach</x:v>
      </x:c>
      <x:c r="D23" s="30" t="str">
        <x:v>Nutrición</x:v>
      </x:c>
      <x:c r="E23" s="30" t="str">
        <x:v>Alta</x:v>
      </x:c>
      <x:c r="F23" s="30" t="str">
        <x:v>El sistema debe permitir actualizar planes nutricionales vigentes cuando el proceso del cliente lo requiera.</x:v>
      </x:c>
      <x:c r="G23" s="30" t="str">
        <x:v>planes_nutricionales, comidas</x:v>
      </x:c>
      <x:c r="H23" s="30" t="str">
        <x:v>Actualizado</x:v>
      </x:c>
      <x:c r="I23" s="28"/>
      <x:c r="J23" s="28"/>
    </x:row>
    <x:row r="24" ht="48" customHeight="1">
      <x:c r="A24" s="30" t="str">
        <x:v>RF-021</x:v>
      </x:c>
      <x:c r="B24" s="30" t="str">
        <x:v>Registro de recomendaciones nutricionales</x:v>
      </x:c>
      <x:c r="C24" s="30" t="str">
        <x:v>Coach</x:v>
      </x:c>
      <x:c r="D24" s="30" t="str">
        <x:v>Nutrición</x:v>
      </x:c>
      <x:c r="E24" s="30" t="str">
        <x:v>Media</x:v>
      </x:c>
      <x:c r="F24" s="30" t="str">
        <x:v>El sistema debe permitir registrar recomendaciones nutricionales complementarias para el cliente.</x:v>
      </x:c>
      <x:c r="G24" s="30" t="str">
        <x:v>planes_nutricionales</x:v>
      </x:c>
      <x:c r="H24" s="30" t="str">
        <x:v>Actualizado</x:v>
      </x:c>
      <x:c r="I24" s="28"/>
      <x:c r="J24" s="28"/>
    </x:row>
    <x:row r="25" ht="48" customHeight="1">
      <x:c r="A25" s="30" t="str">
        <x:v>RF-022</x:v>
      </x:c>
      <x:c r="B25" s="30" t="str">
        <x:v>Registro de peso</x:v>
      </x:c>
      <x:c r="C25" s="30" t="str">
        <x:v>Cliente</x:v>
      </x:c>
      <x:c r="D25" s="30" t="str">
        <x:v>Progreso</x:v>
      </x:c>
      <x:c r="E25" s="30" t="str">
        <x:v>Alta</x:v>
      </x:c>
      <x:c r="F25" s="30" t="str">
        <x:v>El sistema debe permitir registrar peso como parte del seguimiento de progreso.</x:v>
      </x:c>
      <x:c r="G25" s="30" t="str">
        <x:v>registros_progreso</x:v>
      </x:c>
      <x:c r="H25" s="30" t="str">
        <x:v>Actualizado</x:v>
      </x:c>
      <x:c r="I25" s="28"/>
      <x:c r="J25" s="28"/>
    </x:row>
    <x:row r="26" ht="48" customHeight="1">
      <x:c r="A26" s="30" t="str">
        <x:v>RF-023</x:v>
      </x:c>
      <x:c r="B26" s="30" t="str">
        <x:v>Registro de medidas corporales</x:v>
      </x:c>
      <x:c r="C26" s="30" t="str">
        <x:v>Cliente</x:v>
      </x:c>
      <x:c r="D26" s="30" t="str">
        <x:v>Progreso</x:v>
      </x:c>
      <x:c r="E26" s="30" t="str">
        <x:v>Alta</x:v>
      </x:c>
      <x:c r="F26" s="30" t="str">
        <x:v>El sistema debe permitir registrar medidas corporales para comparar la evolución física.</x:v>
      </x:c>
      <x:c r="G26" s="30" t="str">
        <x:v>registros_progreso</x:v>
      </x:c>
      <x:c r="H26" s="30" t="str">
        <x:v>Actualizado</x:v>
      </x:c>
      <x:c r="I26" s="28"/>
      <x:c r="J26" s="28"/>
    </x:row>
    <x:row r="27" ht="48" customHeight="1">
      <x:c r="A27" s="30" t="str">
        <x:v>RF-024</x:v>
      </x:c>
      <x:c r="B27" s="30" t="str">
        <x:v>Registro fotográfico de progreso</x:v>
      </x:c>
      <x:c r="C27" s="30" t="str">
        <x:v>Cliente</x:v>
      </x:c>
      <x:c r="D27" s="30" t="str">
        <x:v>Progreso</x:v>
      </x:c>
      <x:c r="E27" s="30" t="str">
        <x:v>Media</x:v>
      </x:c>
      <x:c r="F27" s="30" t="str">
        <x:v>El sistema debe permitir cargar fotografías de progreso como apoyo visual al seguimiento.</x:v>
      </x:c>
      <x:c r="G27" s="30" t="str">
        <x:v>registros_progreso</x:v>
      </x:c>
      <x:c r="H27" s="30" t="str">
        <x:v>Actualizado</x:v>
      </x:c>
      <x:c r="I27" s="28"/>
      <x:c r="J27" s="28"/>
    </x:row>
    <x:row r="28" ht="48" customHeight="1">
      <x:c r="A28" s="30" t="str">
        <x:v>RF-025</x:v>
      </x:c>
      <x:c r="B28" s="30" t="str">
        <x:v>Historial de progreso</x:v>
      </x:c>
      <x:c r="C28" s="30" t="str">
        <x:v>Cliente</x:v>
      </x:c>
      <x:c r="D28" s="30" t="str">
        <x:v>Progreso</x:v>
      </x:c>
      <x:c r="E28" s="30" t="str">
        <x:v>Alta</x:v>
      </x:c>
      <x:c r="F28" s="30" t="str">
        <x:v>El sistema debe permitir consultar el historial de registros de progreso.</x:v>
      </x:c>
      <x:c r="G28" s="30" t="str">
        <x:v>registros_progreso</x:v>
      </x:c>
      <x:c r="H28" s="30" t="str">
        <x:v>Actualizado</x:v>
      </x:c>
      <x:c r="I28" s="28"/>
      <x:c r="J28" s="28"/>
    </x:row>
    <x:row r="29" ht="48" customHeight="1">
      <x:c r="A29" s="30" t="str">
        <x:v>RF-026</x:v>
      </x:c>
      <x:c r="B29" s="30" t="str">
        <x:v>Comparación de progreso</x:v>
      </x:c>
      <x:c r="C29" s="30" t="str">
        <x:v>Cliente</x:v>
      </x:c>
      <x:c r="D29" s="30" t="str">
        <x:v>Progreso</x:v>
      </x:c>
      <x:c r="E29" s="30" t="str">
        <x:v>Media</x:v>
      </x:c>
      <x:c r="F29" s="30" t="str">
        <x:v>El sistema debe permitir comparar registros de progreso entre periodos.</x:v>
      </x:c>
      <x:c r="G29" s="30" t="str">
        <x:v>registros_progreso</x:v>
      </x:c>
      <x:c r="H29" s="30" t="str">
        <x:v>Actualizado</x:v>
      </x:c>
      <x:c r="I29" s="28"/>
      <x:c r="J29" s="28"/>
    </x:row>
    <x:row r="30" ht="48" customHeight="1">
      <x:c r="A30" s="30" t="str">
        <x:v>RF-027</x:v>
      </x:c>
      <x:c r="B30" s="30" t="str">
        <x:v>Observaciones del coach sobre progreso</x:v>
      </x:c>
      <x:c r="C30" s="30" t="str">
        <x:v>Coach</x:v>
      </x:c>
      <x:c r="D30" s="30" t="str">
        <x:v>Progreso</x:v>
      </x:c>
      <x:c r="E30" s="30" t="str">
        <x:v>Media</x:v>
      </x:c>
      <x:c r="F30" s="30" t="str">
        <x:v>El sistema debe permitir registrar observaciones profesionales sobre los avances del cliente.</x:v>
      </x:c>
      <x:c r="G30" s="30" t="str">
        <x:v>registros_progreso, coaches</x:v>
      </x:c>
      <x:c r="H30" s="30" t="str">
        <x:v>Actualizado</x:v>
      </x:c>
      <x:c r="I30" s="28"/>
      <x:c r="J30" s="28"/>
    </x:row>
    <x:row r="31" ht="48" customHeight="1">
      <x:c r="A31" s="30" t="str">
        <x:v>RF-028</x:v>
      </x:c>
      <x:c r="B31" s="30" t="str">
        <x:v>Registro de pago asociado a compra</x:v>
      </x:c>
      <x:c r="C31" s="30" t="str">
        <x:v>Visitante / Cliente</x:v>
      </x:c>
      <x:c r="D31" s="30" t="str">
        <x:v>Pagos, solicitudes, cupos y acceso</x:v>
      </x:c>
      <x:c r="E31" s="30" t="str">
        <x:v>Alta</x:v>
      </x:c>
      <x:c r="F31" s="30" t="str">
        <x:v>El sistema debe permitir registrar el pago o comprobante asociado al plan seleccionado antes de generar o completar la solicitud de compra pendiente.</x:v>
      </x:c>
      <x:c r="G31" s="30" t="str">
        <x:v>pagos, solicitudes_compra, planes</x:v>
      </x:c>
      <x:c r="H31" s="30" t="str">
        <x:v>Actualizado</x:v>
      </x:c>
      <x:c r="I31" s="28"/>
      <x:c r="J31" s="28"/>
    </x:row>
    <x:row r="32" ht="48" customHeight="1">
      <x:c r="A32" s="30" t="str">
        <x:v>RF-029</x:v>
      </x:c>
      <x:c r="B32" s="30" t="str">
        <x:v>Validación de solicitud de compra y pago</x:v>
      </x:c>
      <x:c r="C32" s="30" t="str">
        <x:v>Administrador</x:v>
      </x:c>
      <x:c r="D32" s="30" t="str">
        <x:v>Pagos, solicitudes, cupos y acceso</x:v>
      </x:c>
      <x:c r="E32" s="30" t="str">
        <x:v>Alta</x:v>
      </x:c>
      <x:c r="F32" s="30" t="str">
        <x:v>El sistema debe permitir al administrador revisar solicitudes de compra, validar o rechazar el pago, dejar observación y definir el resultado de la solicitud.</x:v>
      </x:c>
      <x:c r="G32" s="30" t="str">
        <x:v>solicitudes_compra, pagos, user</x:v>
      </x:c>
      <x:c r="H32" s="30" t="str">
        <x:v>Actualizado</x:v>
      </x:c>
      <x:c r="I32" s="28"/>
      <x:c r="J32" s="28"/>
    </x:row>
    <x:row r="33" ht="48" customHeight="1">
      <x:c r="A33" s="30" t="str">
        <x:v>RF-030</x:v>
      </x:c>
      <x:c r="B33" s="30" t="str">
        <x:v>Activación automática de cliente y accesos</x:v>
      </x:c>
      <x:c r="C33" s="30" t="str">
        <x:v>Sistema</x:v>
      </x:c>
      <x:c r="D33" s="30" t="str">
        <x:v>Pagos, solicitudes, cupos y acceso</x:v>
      </x:c>
      <x:c r="E33" s="30" t="str">
        <x:v>Alta</x:v>
      </x:c>
      <x:c r="F33" s="30" t="str">
        <x:v>Cuando la solicitud sea validada, el sistema debe crear o activar el usuario como cliente, asociarlo al plan comprado y habilitar los módulos incluidos en el plan.</x:v>
      </x:c>
      <x:c r="G33" s="30" t="str">
        <x:v>user, user_roles, clientes, planes_cliente, acceso_cliente_modulo, plan_modulos</x:v>
      </x:c>
      <x:c r="H33" s="30" t="str">
        <x:v>Actualizado</x:v>
      </x:c>
      <x:c r="I33" s="28"/>
      <x:c r="J33" s="28"/>
    </x:row>
    <x:row r="34" ht="48" customHeight="1">
      <x:c r="A34" s="30" t="str">
        <x:v>RF-031</x:v>
      </x:c>
      <x:c r="B34" s="30" t="str">
        <x:v>Restricción de acceso a módulos sin plan vigente</x:v>
      </x:c>
      <x:c r="C34" s="30" t="str">
        <x:v>Sistema</x:v>
      </x:c>
      <x:c r="D34" s="30" t="str">
        <x:v>Pagos, solicitudes, cupos y acceso</x:v>
      </x:c>
      <x:c r="E34" s="30" t="str">
        <x:v>Alta</x:v>
      </x:c>
      <x:c r="F34" s="30" t="str">
        <x:v>El sistema debe restringir los módulos cuando el cliente no tenga un plan activo, validado y vigente que los habilite.</x:v>
      </x:c>
      <x:c r="G34" s="30" t="str">
        <x:v>acceso_cliente_modulo, planes_cliente, pagos</x:v>
      </x:c>
      <x:c r="H34" s="30" t="str">
        <x:v>Actualizado</x:v>
      </x:c>
      <x:c r="I34" s="28"/>
      <x:c r="J34" s="28"/>
    </x:row>
    <x:row r="35" ht="48" customHeight="1">
      <x:c r="A35" s="30" t="str">
        <x:v>RF-032</x:v>
      </x:c>
      <x:c r="B35" s="30" t="str">
        <x:v>Historial de pagos</x:v>
      </x:c>
      <x:c r="C35" s="30" t="str">
        <x:v>Cliente</x:v>
      </x:c>
      <x:c r="D35" s="30" t="str">
        <x:v>Pagos, solicitudes, cupos y acceso</x:v>
      </x:c>
      <x:c r="E35" s="30" t="str">
        <x:v>Media</x:v>
      </x:c>
      <x:c r="F35" s="30" t="str">
        <x:v>El sistema debe permitir consultar el historial de pagos asociados a sus solicitudes y planes.</x:v>
      </x:c>
      <x:c r="G35" s="30" t="str">
        <x:v>pagos, solicitudes_compra, planes_cliente</x:v>
      </x:c>
      <x:c r="H35" s="30" t="str">
        <x:v>Actualizado</x:v>
      </x:c>
      <x:c r="I35" s="28"/>
      <x:c r="J35" s="28"/>
    </x:row>
    <x:row r="36" ht="48" customHeight="1">
      <x:c r="A36" s="30" t="str">
        <x:v>RF-033</x:v>
      </x:c>
      <x:c r="B36" s="30" t="str">
        <x:v>Vencimiento de planes</x:v>
      </x:c>
      <x:c r="C36" s="30" t="str">
        <x:v>Sistema</x:v>
      </x:c>
      <x:c r="D36" s="30" t="str">
        <x:v>Pagos, solicitudes, cupos y acceso</x:v>
      </x:c>
      <x:c r="E36" s="30" t="str">
        <x:v>Alta</x:v>
      </x:c>
      <x:c r="F36" s="30" t="str">
        <x:v>El sistema debe actualizar estados de plan y accesos cuando la vigencia termine.</x:v>
      </x:c>
      <x:c r="G36" s="30" t="str">
        <x:v>planes_cliente, acceso_cliente_modulo, notificaciones</x:v>
      </x:c>
      <x:c r="H36" s="30" t="str">
        <x:v>Actualizado</x:v>
      </x:c>
      <x:c r="I36" s="28"/>
      <x:c r="J36" s="28"/>
    </x:row>
    <x:row r="37" ht="48" customHeight="1">
      <x:c r="A37" s="30" t="str">
        <x:v>RF-034</x:v>
      </x:c>
      <x:c r="B37" s="30" t="str">
        <x:v>Gestión de catálogo de planes comerciales con cupos</x:v>
      </x:c>
      <x:c r="C37" s="30" t="str">
        <x:v>Administrador</x:v>
      </x:c>
      <x:c r="D37" s="30" t="str">
        <x:v>Pagos, solicitudes, cupos y acceso</x:v>
      </x:c>
      <x:c r="E37" s="30" t="str">
        <x:v>Alta</x:v>
      </x:c>
      <x:c r="F37" s="30" t="str">
        <x:v>El sistema debe permitir crear, actualizar, activar e inactivar planes con precio, duración, modalidad, tipo de cliente, inclusiones, fechas de programa, cupo máximo y estado.</x:v>
      </x:c>
      <x:c r="G37" s="30" t="str">
        <x:v>planes, modulos_servicio, plan_modulos, vw_cupos_planes</x:v>
      </x:c>
      <x:c r="H37" s="30" t="str">
        <x:v>Actualizado</x:v>
      </x:c>
      <x:c r="I37" s="28"/>
      <x:c r="J37" s="28"/>
    </x:row>
    <x:row r="38" ht="48" customHeight="1">
      <x:c r="A38" s="30" t="str">
        <x:v>RF-035</x:v>
      </x:c>
      <x:c r="B38" s="30" t="str">
        <x:v>Consulta del estado de acceso a módulos adquiridos</x:v>
      </x:c>
      <x:c r="C38" s="30" t="str">
        <x:v>Cliente</x:v>
      </x:c>
      <x:c r="D38" s="30" t="str">
        <x:v>Pagos, solicitudes, cupos y acceso</x:v>
      </x:c>
      <x:c r="E38" s="30" t="str">
        <x:v>Media</x:v>
      </x:c>
      <x:c r="F38" s="30" t="str">
        <x:v>El sistema debe permitir consultar qué módulos tiene activos según su plan validado y vigente.</x:v>
      </x:c>
      <x:c r="G38" s="30" t="str">
        <x:v>acceso_cliente_modulo, planes_cliente, modulos_servicio</x:v>
      </x:c>
      <x:c r="H38" s="30" t="str">
        <x:v>Actualizado</x:v>
      </x:c>
      <x:c r="I38" s="28"/>
      <x:c r="J38" s="28"/>
    </x:row>
    <x:row r="39" ht="48" customHeight="1">
      <x:c r="A39" s="30" t="str">
        <x:v>RF-036</x:v>
      </x:c>
      <x:c r="B39" s="30" t="str">
        <x:v>Chat interno cliente-coach</x:v>
      </x:c>
      <x:c r="C39" s="30" t="str">
        <x:v>Cliente / Coach</x:v>
      </x:c>
      <x:c r="D39" s="30" t="str">
        <x:v>Comunicación y notificaciones</x:v>
      </x:c>
      <x:c r="E39" s="30" t="str">
        <x:v>Alta</x:v>
      </x:c>
      <x:c r="F39" s="30" t="str">
        <x:v>El sistema debe permitir comunicación interna entre cliente y coach mediante chats y mensajes almacenados.</x:v>
      </x:c>
      <x:c r="G39" s="30" t="str">
        <x:v>chats, mensajes</x:v>
      </x:c>
      <x:c r="H39" s="30" t="str">
        <x:v>Actualizado</x:v>
      </x:c>
      <x:c r="I39" s="28"/>
      <x:c r="J39" s="28"/>
    </x:row>
    <x:row r="40" ht="48" customHeight="1">
      <x:c r="A40" s="30" t="str">
        <x:v>RF-037</x:v>
      </x:c>
      <x:c r="B40" s="30" t="str">
        <x:v>Mensajes grupales por difusión</x:v>
      </x:c>
      <x:c r="C40" s="30" t="str">
        <x:v>Coach / Administrador</x:v>
      </x:c>
      <x:c r="D40" s="30" t="str">
        <x:v>Comunicación y notificaciones</x:v>
      </x:c>
      <x:c r="E40" s="30" t="str">
        <x:v>Media</x:v>
      </x:c>
      <x:c r="F40" s="30" t="str">
        <x:v>El sistema debe permitir enviar mensajes o notificaciones grupales a clientes filtrados por plan, institución o evento.</x:v>
      </x:c>
      <x:c r="G40" s="30" t="str">
        <x:v>notificaciones, clientes, instituciones</x:v>
      </x:c>
      <x:c r="H40" s="30" t="str">
        <x:v>Actualizado</x:v>
      </x:c>
      <x:c r="I40" s="28"/>
      <x:c r="J40" s="28"/>
    </x:row>
    <x:row r="41" ht="48" customHeight="1">
      <x:c r="A41" s="30" t="str">
        <x:v>RF-038</x:v>
      </x:c>
      <x:c r="B41" s="30" t="str">
        <x:v>Mensajes motivacionales automáticos</x:v>
      </x:c>
      <x:c r="C41" s="30" t="str">
        <x:v>Sistema</x:v>
      </x:c>
      <x:c r="D41" s="30" t="str">
        <x:v>Comunicación y notificaciones</x:v>
      </x:c>
      <x:c r="E41" s="30" t="str">
        <x:v>Media</x:v>
      </x:c>
      <x:c r="F41" s="30" t="str">
        <x:v>El sistema debe generar mensajes motivacionales o de seguimiento según reglas del proceso.</x:v>
      </x:c>
      <x:c r="G41" s="30" t="str">
        <x:v>notificaciones</x:v>
      </x:c>
      <x:c r="H41" s="30" t="str">
        <x:v>Actualizado</x:v>
      </x:c>
      <x:c r="I41" s="28"/>
      <x:c r="J41" s="28"/>
    </x:row>
    <x:row r="42" ht="48" customHeight="1">
      <x:c r="A42" s="30" t="str">
        <x:v>RF-039</x:v>
      </x:c>
      <x:c r="B42" s="30" t="str">
        <x:v>Notificaciones del sistema</x:v>
      </x:c>
      <x:c r="C42" s="30" t="str">
        <x:v>Sistema</x:v>
      </x:c>
      <x:c r="D42" s="30" t="str">
        <x:v>Comunicación y notificaciones</x:v>
      </x:c>
      <x:c r="E42" s="30" t="str">
        <x:v>Alta</x:v>
      </x:c>
      <x:c r="F42" s="30" t="str">
        <x:v>El sistema debe emitir notificaciones por pagos, planes, agenda, chat, eventos y progreso.</x:v>
      </x:c>
      <x:c r="G42" s="30" t="str">
        <x:v>notificaciones</x:v>
      </x:c>
      <x:c r="H42" s="30" t="str">
        <x:v>Actualizado</x:v>
      </x:c>
      <x:c r="I42" s="28"/>
      <x:c r="J42" s="28"/>
    </x:row>
    <x:row r="43" ht="48" customHeight="1">
      <x:c r="A43" s="30" t="str">
        <x:v>RF-040</x:v>
      </x:c>
      <x:c r="B43" s="30" t="str">
        <x:v>Agenda de entrenamientos del coach</x:v>
      </x:c>
      <x:c r="C43" s="30" t="str">
        <x:v>Coach</x:v>
      </x:c>
      <x:c r="D43" s="30" t="str">
        <x:v>Agenda, sesiones y eventos</x:v>
      </x:c>
      <x:c r="E43" s="30" t="str">
        <x:v>Alta</x:v>
      </x:c>
      <x:c r="F43" s="30" t="str">
        <x:v>El sistema debe permitir al coach administrar su agenda de sesiones y entrenamientos.</x:v>
      </x:c>
      <x:c r="G43" s="30" t="str">
        <x:v>sesiones, coaches</x:v>
      </x:c>
      <x:c r="H43" s="30" t="str">
        <x:v>Actualizado</x:v>
      </x:c>
      <x:c r="I43" s="28"/>
      <x:c r="J43" s="28"/>
    </x:row>
    <x:row r="44" ht="48" customHeight="1">
      <x:c r="A44" s="30" t="str">
        <x:v>RF-041</x:v>
      </x:c>
      <x:c r="B44" s="30" t="str">
        <x:v>Calendario de actividades del cliente</x:v>
      </x:c>
      <x:c r="C44" s="30" t="str">
        <x:v>Cliente</x:v>
      </x:c>
      <x:c r="D44" s="30" t="str">
        <x:v>Agenda, sesiones y eventos</x:v>
      </x:c>
      <x:c r="E44" s="30" t="str">
        <x:v>Alta</x:v>
      </x:c>
      <x:c r="F44" s="30" t="str">
        <x:v>El sistema debe permitir consultar sesiones, eventos y actividades programadas.</x:v>
      </x:c>
      <x:c r="G44" s="30" t="str">
        <x:v>sesiones, sesion_participantes, eventos, evento_participantes</x:v>
      </x:c>
      <x:c r="H44" s="30" t="str">
        <x:v>Actualizado</x:v>
      </x:c>
      <x:c r="I44" s="28"/>
      <x:c r="J44" s="28"/>
    </x:row>
    <x:row r="45" ht="48" customHeight="1">
      <x:c r="A45" s="30" t="str">
        <x:v>RF-042</x:v>
      </x:c>
      <x:c r="B45" s="30" t="str">
        <x:v>Recordatorios automáticos</x:v>
      </x:c>
      <x:c r="C45" s="30" t="str">
        <x:v>Sistema</x:v>
      </x:c>
      <x:c r="D45" s="30" t="str">
        <x:v>Agenda, sesiones y eventos</x:v>
      </x:c>
      <x:c r="E45" s="30" t="str">
        <x:v>Alta</x:v>
      </x:c>
      <x:c r="F45" s="30" t="str">
        <x:v>El sistema debe enviar recordatorios sobre sesiones, eventos y actividades próximas.</x:v>
      </x:c>
      <x:c r="G45" s="30" t="str">
        <x:v>notificaciones, sesiones, eventos</x:v>
      </x:c>
      <x:c r="H45" s="30" t="str">
        <x:v>Actualizado</x:v>
      </x:c>
      <x:c r="I45" s="28"/>
      <x:c r="J45" s="28"/>
    </x:row>
    <x:row r="46" ht="48" customHeight="1">
      <x:c r="A46" s="30" t="str">
        <x:v>RF-043</x:v>
      </x:c>
      <x:c r="B46" s="30" t="str">
        <x:v>Gestión de eventos y talleres</x:v>
      </x:c>
      <x:c r="C46" s="30" t="str">
        <x:v>Administrador / Coach</x:v>
      </x:c>
      <x:c r="D46" s="30" t="str">
        <x:v>Agenda, sesiones y eventos</x:v>
      </x:c>
      <x:c r="E46" s="30" t="str">
        <x:v>Media</x:v>
      </x:c>
      <x:c r="F46" s="30" t="str">
        <x:v>El sistema debe permitir crear, publicar, actualizar, cancelar y consultar eventos o talleres, incluyendo cupos cuando aplique.</x:v>
      </x:c>
      <x:c r="G46" s="30" t="str">
        <x:v>eventos, evento_participantes</x:v>
      </x:c>
      <x:c r="H46" s="30" t="str">
        <x:v>Actualizado</x:v>
      </x:c>
      <x:c r="I46" s="28"/>
      <x:c r="J46" s="28"/>
    </x:row>
    <x:row r="47" ht="48" customHeight="1">
      <x:c r="A47" s="30" t="str">
        <x:v>RF-044</x:v>
      </x:c>
      <x:c r="B47" s="30" t="str">
        <x:v>Gestión de participantes en sesiones y talleres grupales</x:v>
      </x:c>
      <x:c r="C47" s="30" t="str">
        <x:v>Coach / Administrador</x:v>
      </x:c>
      <x:c r="D47" s="30" t="str">
        <x:v>Agenda, sesiones y eventos</x:v>
      </x:c>
      <x:c r="E47" s="30" t="str">
        <x:v>Alta</x:v>
      </x:c>
      <x:c r="F47" s="30" t="str">
        <x:v>El sistema debe permitir administrar participantes, estados de asistencia y cupos en sesiones o talleres grupales.</x:v>
      </x:c>
      <x:c r="G47" s="30" t="str">
        <x:v>sesion_participantes, evento_participantes, sesiones, eventos</x:v>
      </x:c>
      <x:c r="H47" s="30" t="str">
        <x:v>Actualizado</x:v>
      </x:c>
      <x:c r="I47" s="28"/>
      <x:c r="J47" s="28"/>
    </x:row>
    <x:row r="48" ht="48" customHeight="1">
      <x:c r="A48" s="30" t="str">
        <x:v>RF-045</x:v>
      </x:c>
      <x:c r="B48" s="30" t="str">
        <x:v>Gestión de disponibilidad del coach</x:v>
      </x:c>
      <x:c r="C48" s="30" t="str">
        <x:v>Coach</x:v>
      </x:c>
      <x:c r="D48" s="30" t="str">
        <x:v>Agenda, sesiones y eventos</x:v>
      </x:c>
      <x:c r="E48" s="30" t="str">
        <x:v>Alta</x:v>
      </x:c>
      <x:c r="F48" s="30" t="str">
        <x:v>El sistema debe permitir administrar disponibilidad operativa para sesiones y agenda.</x:v>
      </x:c>
      <x:c r="G48" s="30" t="str">
        <x:v>sesiones, coaches</x:v>
      </x:c>
      <x:c r="H48" s="30" t="str">
        <x:v>Actualizado</x:v>
      </x:c>
      <x:c r="I48" s="28"/>
      <x:c r="J48" s="28"/>
    </x:row>
    <x:row r="49" ht="48" customHeight="1">
      <x:c r="A49" s="30" t="str">
        <x:v>RF-046</x:v>
      </x:c>
      <x:c r="B49" s="30" t="str">
        <x:v>Reportes de progreso del coach</x:v>
      </x:c>
      <x:c r="C49" s="30" t="str">
        <x:v>Coach</x:v>
      </x:c>
      <x:c r="D49" s="30" t="str">
        <x:v>Reportes y analítica</x:v>
      </x:c>
      <x:c r="E49" s="30" t="str">
        <x:v>Media</x:v>
      </x:c>
      <x:c r="F49" s="30" t="str">
        <x:v>El sistema debe permitir generar reportes de progreso de clientes asignados.</x:v>
      </x:c>
      <x:c r="G49" s="30" t="str">
        <x:v>reportes_generados, registros_progreso, clientes</x:v>
      </x:c>
      <x:c r="H49" s="30" t="str">
        <x:v>Actualizado</x:v>
      </x:c>
      <x:c r="I49" s="28"/>
      <x:c r="J49" s="28"/>
    </x:row>
    <x:row r="50" ht="48" customHeight="1">
      <x:c r="A50" s="30" t="str">
        <x:v>RF-047</x:v>
      </x:c>
      <x:c r="B50" s="30" t="str">
        <x:v>Reportes administrativos</x:v>
      </x:c>
      <x:c r="C50" s="30" t="str">
        <x:v>Administrador</x:v>
      </x:c>
      <x:c r="D50" s="30" t="str">
        <x:v>Reportes y analítica</x:v>
      </x:c>
      <x:c r="E50" s="30" t="str">
        <x:v>Media</x:v>
      </x:c>
      <x:c r="F50" s="30" t="str">
        <x:v>El sistema debe permitir generar reportes administrativos sobre usuarios, clientes, planes, solicitudes e instituciones.</x:v>
      </x:c>
      <x:c r="G50" s="30" t="str">
        <x:v>reportes_generados, user, clientes, planes, solicitudes_compra</x:v>
      </x:c>
      <x:c r="H50" s="30" t="str">
        <x:v>Actualizado</x:v>
      </x:c>
      <x:c r="I50" s="28"/>
      <x:c r="J50" s="28"/>
    </x:row>
    <x:row r="51" ht="48" customHeight="1">
      <x:c r="A51" s="30" t="str">
        <x:v>RF-048</x:v>
      </x:c>
      <x:c r="B51" s="30" t="str">
        <x:v>Reportes de pagos</x:v>
      </x:c>
      <x:c r="C51" s="30" t="str">
        <x:v>Administrador</x:v>
      </x:c>
      <x:c r="D51" s="30" t="str">
        <x:v>Reportes y analítica</x:v>
      </x:c>
      <x:c r="E51" s="30" t="str">
        <x:v>Media</x:v>
      </x:c>
      <x:c r="F51" s="30" t="str">
        <x:v>El sistema debe permitir consultar reportes de pagos por estado, fecha, plan y validación.</x:v>
      </x:c>
      <x:c r="G51" s="30" t="str">
        <x:v>reportes_generados, pagos, solicitudes_compra</x:v>
      </x:c>
      <x:c r="H51" s="30" t="str">
        <x:v>Actualizado</x:v>
      </x:c>
      <x:c r="I51" s="28"/>
      <x:c r="J51" s="28"/>
    </x:row>
    <x:row r="52" ht="48" customHeight="1">
      <x:c r="A52" s="30" t="str">
        <x:v>RF-049</x:v>
      </x:c>
      <x:c r="B52" s="30" t="str">
        <x:v>Estadísticas del sistema</x:v>
      </x:c>
      <x:c r="C52" s="30" t="str">
        <x:v>Administrador</x:v>
      </x:c>
      <x:c r="D52" s="30" t="str">
        <x:v>Reportes y analítica</x:v>
      </x:c>
      <x:c r="E52" s="30" t="str">
        <x:v>Media</x:v>
      </x:c>
      <x:c r="F52" s="30" t="str">
        <x:v>El sistema debe permitir visualizar estadísticas generales sobre uso, clientes, planes, cupos, solicitudes, pagos y eventos.</x:v>
      </x:c>
      <x:c r="G52" s="30" t="str">
        <x:v>reportes_generados, vw_cupos_planes, vw_clientes_activos, pagos</x:v>
      </x:c>
      <x:c r="H52" s="30" t="str">
        <x:v>Actualizado</x:v>
      </x:c>
      <x:c r="I52" s="28"/>
      <x:c r="J52" s="28"/>
    </x:row>
    <x:row r="53" ht="48" customHeight="1">
      <x:c r="A53" s="30" t="str">
        <x:v>RF-050</x:v>
      </x:c>
      <x:c r="B53" s="30" t="str">
        <x:v>Notificación de pagos pendientes</x:v>
      </x:c>
      <x:c r="C53" s="30" t="str">
        <x:v>Sistema</x:v>
      </x:c>
      <x:c r="D53" s="30" t="str">
        <x:v>Comunicación y notificaciones</x:v>
      </x:c>
      <x:c r="E53" s="30" t="str">
        <x:v>Alta</x:v>
      </x:c>
      <x:c r="F53" s="30" t="str">
        <x:v>El sistema debe notificar al usuario o administrador cuando existan pagos o solicitudes pendientes de revisión.</x:v>
      </x:c>
      <x:c r="G53" s="30" t="str">
        <x:v>notificaciones, pagos, solicitudes_compra</x:v>
      </x:c>
      <x:c r="H53" s="30" t="str">
        <x:v>Actualizado</x:v>
      </x:c>
      <x:c r="I53" s="28"/>
      <x:c r="J53" s="28"/>
    </x:row>
    <x:row r="54" ht="48" customHeight="1">
      <x:c r="A54" s="30" t="str">
        <x:v>RF-051</x:v>
      </x:c>
      <x:c r="B54" s="30" t="str">
        <x:v>Notificación de vencimiento de planes</x:v>
      </x:c>
      <x:c r="C54" s="30" t="str">
        <x:v>Sistema</x:v>
      </x:c>
      <x:c r="D54" s="30" t="str">
        <x:v>Comunicación y notificaciones</x:v>
      </x:c>
      <x:c r="E54" s="30" t="str">
        <x:v>Alta</x:v>
      </x:c>
      <x:c r="F54" s="30" t="str">
        <x:v>El sistema debe notificar al cliente sobre vencimientos próximos o vencidos.</x:v>
      </x:c>
      <x:c r="G54" s="30" t="str">
        <x:v>notificaciones, planes_cliente</x:v>
      </x:c>
      <x:c r="H54" s="30" t="str">
        <x:v>Actualizado</x:v>
      </x:c>
      <x:c r="I54" s="28"/>
      <x:c r="J54" s="28"/>
    </x:row>
    <x:row r="55" ht="48" customHeight="1">
      <x:c r="A55" s="30" t="str">
        <x:v>RF-052</x:v>
      </x:c>
      <x:c r="B55" s="30" t="str">
        <x:v>Notificación de nuevas rutinas</x:v>
      </x:c>
      <x:c r="C55" s="30" t="str">
        <x:v>Sistema</x:v>
      </x:c>
      <x:c r="D55" s="30" t="str">
        <x:v>Comunicación y notificaciones</x:v>
      </x:c>
      <x:c r="E55" s="30" t="str">
        <x:v>Alta</x:v>
      </x:c>
      <x:c r="F55" s="30" t="str">
        <x:v>El sistema debe notificar cuando exista una rutina nueva o actualizada.</x:v>
      </x:c>
      <x:c r="G55" s="30" t="str">
        <x:v>notificaciones, rutinas</x:v>
      </x:c>
      <x:c r="H55" s="30" t="str">
        <x:v>Actualizado</x:v>
      </x:c>
      <x:c r="I55" s="28"/>
      <x:c r="J55" s="28"/>
    </x:row>
    <x:row r="56" ht="48" customHeight="1">
      <x:c r="A56" s="30" t="str">
        <x:v>RF-053</x:v>
      </x:c>
      <x:c r="B56" s="30" t="str">
        <x:v>Notificación de actualización nutricional</x:v>
      </x:c>
      <x:c r="C56" s="30" t="str">
        <x:v>Sistema</x:v>
      </x:c>
      <x:c r="D56" s="30" t="str">
        <x:v>Comunicación y notificaciones</x:v>
      </x:c>
      <x:c r="E56" s="30" t="str">
        <x:v>Alta</x:v>
      </x:c>
      <x:c r="F56" s="30" t="str">
        <x:v>El sistema debe notificar cuando el plan nutricional sea creado o actualizado.</x:v>
      </x:c>
      <x:c r="G56" s="30" t="str">
        <x:v>notificaciones, planes_nutricionales</x:v>
      </x:c>
      <x:c r="H56" s="30" t="str">
        <x:v>Actualizado</x:v>
      </x:c>
      <x:c r="I56" s="28"/>
      <x:c r="J56" s="28"/>
    </x:row>
    <x:row r="57" ht="48" customHeight="1">
      <x:c r="A57" s="30" t="str">
        <x:v>RF-054</x:v>
      </x:c>
      <x:c r="B57" s="30" t="str">
        <x:v>Gestión de instituciones</x:v>
      </x:c>
      <x:c r="C57" s="30" t="str">
        <x:v>Administrador</x:v>
      </x:c>
      <x:c r="D57" s="30" t="str">
        <x:v>Instituciones</x:v>
      </x:c>
      <x:c r="E57" s="30" t="str">
        <x:v>Alta</x:v>
      </x:c>
      <x:c r="F57" s="30" t="str">
        <x:v>El sistema debe permitir registrar, actualizar, activar, inactivar y consultar instituciones vinculadas a la plataforma.</x:v>
      </x:c>
      <x:c r="G57" s="30" t="str">
        <x:v>instituciones</x:v>
      </x:c>
      <x:c r="H57" s="30" t="str">
        <x:v>Actualizado</x:v>
      </x:c>
      <x:c r="I57" s="28"/>
      <x:c r="J57" s="28"/>
    </x:row>
    <x:row r="58" ht="48" customHeight="1">
      <x:c r="A58" s="30" t="str">
        <x:v>RF-055</x:v>
      </x:c>
      <x:c r="B58" s="30" t="str">
        <x:v>Vinculación de clientes a instituciones</x:v>
      </x:c>
      <x:c r="C58" s="30" t="str">
        <x:v>Administrador</x:v>
      </x:c>
      <x:c r="D58" s="30" t="str">
        <x:v>Instituciones</x:v>
      </x:c>
      <x:c r="E58" s="30" t="str">
        <x:v>Alta</x:v>
      </x:c>
      <x:c r="F58" s="30" t="str">
        <x:v>El sistema debe permitir asociar clientes activos a instituciones y administrar su relación institucional.</x:v>
      </x:c>
      <x:c r="G58" s="30" t="str">
        <x:v>clientes, instituciones</x:v>
      </x:c>
      <x:c r="H58" s="30" t="str">
        <x:v>Actualizado</x:v>
      </x:c>
      <x:c r="I58" s="28"/>
      <x:c r="J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H1"/>
  </x:mergeCells>
  <x:dataValidations count="2">
    <x:dataValidation type="list" sqref="E4:E58">
      <x:formula1>"Alta,Media,Baja"</x:formula1>
    </x:dataValidation>
    <x:dataValidation type="list" sqref="H4:H58">
      <x:formula1>"Actualizado,Pendiente,Revisar"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4" hidden="0" customWidth="1"/>
    <x:col min="5" max="5" width="34" hidden="0" customWidth="1"/>
    <x:col min="6" max="6" width="72" hidden="0" customWidth="1"/>
    <x:col min="7" max="7" width="48" hidden="0" customWidth="1"/>
    <x:col min="8" max="8" width="12" hidden="0" customWidth="1"/>
  </x:cols>
  <x:sheetData>
    <x:row r="1" ht="26" customHeight="1">
      <x:c r="A1" s="36" t="str">
        <x:v>Historias de usuario actualizadas y vinculadas con requisitos y casos de uso</x:v>
      </x:c>
      <x:c r="B1" s="36"/>
      <x:c r="C1" s="36"/>
      <x:c r="D1" s="36"/>
      <x:c r="E1" s="36"/>
      <x:c r="F1" s="36"/>
      <x:c r="G1" s="36"/>
      <x:c r="H1" s="36"/>
      <x:c r="I1" s="28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9" t="str">
        <x:v>ID HU</x:v>
      </x:c>
      <x:c r="B3" s="39" t="str">
        <x:v>RF asociado</x:v>
      </x:c>
      <x:c r="C3" s="39" t="str">
        <x:v>Caso de uso</x:v>
      </x:c>
      <x:c r="D3" s="39" t="str">
        <x:v>Rol</x:v>
      </x:c>
      <x:c r="E3" s="39" t="str">
        <x:v>Necesidad / Funcionalidad</x:v>
      </x:c>
      <x:c r="F3" s="39" t="str">
        <x:v>Historia de usuario</x:v>
      </x:c>
      <x:c r="G3" s="39" t="str">
        <x:v>Objetivo de negocio</x:v>
      </x:c>
      <x:c r="H3" s="39" t="str">
        <x:v>Prioridad</x:v>
      </x:c>
      <x:c r="I3" s="28"/>
      <x:c r="J3" s="28"/>
    </x:row>
    <x:row r="4" ht="62" customHeight="1">
      <x:c r="A4" s="30" t="str">
        <x:v>HU-ACC-001</x:v>
      </x:c>
      <x:c r="B4" s="30" t="str">
        <x:v>RF-001</x:v>
      </x:c>
      <x:c r="C4" s="30" t="str">
        <x:v>CU-01</x:v>
      </x:c>
      <x:c r="D4" s="30" t="str">
        <x:v>Visitante / Usuario interesado</x:v>
      </x:c>
      <x:c r="E4" s="30" t="str">
        <x:v>Consulta, selección y solicitud de compra de plan</x:v>
      </x:c>
      <x:c r="F4" s="30" t="str">
        <x:v>Como usuario interesado, quiero que el sistema permita consulta, selección y solicitud de compra de plan, para facilitar la compra controlada de planes sin crear clientes activos antes de validar el pago.</x:v>
      </x:c>
      <x:c r="G4" s="30" t="str">
        <x:v>Facilitar la compra controlada de planes sin crear clientes activos antes de validar el pago.</x:v>
      </x:c>
      <x:c r="H4" s="30" t="str">
        <x:v>Alta</x:v>
      </x:c>
      <x:c r="I4" s="28"/>
      <x:c r="J4" s="28"/>
    </x:row>
    <x:row r="5" ht="62" customHeight="1">
      <x:c r="A5" s="30" t="str">
        <x:v>HU-ACC-002</x:v>
      </x:c>
      <x:c r="B5" s="30" t="str">
        <x:v>RF-002</x:v>
      </x:c>
      <x:c r="C5" s="30" t="str">
        <x:v>CU-02</x:v>
      </x:c>
      <x:c r="D5" s="30" t="str">
        <x:v>Administrador</x:v>
      </x:c>
      <x:c r="E5" s="30" t="str">
        <x:v>Registro administrativo de clientes</x:v>
      </x:c>
      <x:c r="F5" s="30" t="str">
        <x:v>Como administrador, quiero que el sistema permita registro administrativo de clientes, para permitir altas asistidas y corrección de datos desde administración sin romper la trazabilidad.</x:v>
      </x:c>
      <x:c r="G5" s="30" t="str">
        <x:v>Permitir altas asistidas y corrección de datos desde administración sin romper la trazabilidad.</x:v>
      </x:c>
      <x:c r="H5" s="30" t="str">
        <x:v>Alta</x:v>
      </x:c>
      <x:c r="I5" s="28"/>
      <x:c r="J5" s="28"/>
    </x:row>
    <x:row r="6" ht="62" customHeight="1">
      <x:c r="A6" s="30" t="str">
        <x:v>HU-ACC-003</x:v>
      </x:c>
      <x:c r="B6" s="30" t="str">
        <x:v>RF-003</x:v>
      </x:c>
      <x:c r="C6" s="30" t="str">
        <x:v>CU-03</x:v>
      </x:c>
      <x:c r="D6" s="30" t="str">
        <x:v>Administrador</x:v>
      </x:c>
      <x:c r="E6" s="30" t="str">
        <x:v>Registro de coaches</x:v>
      </x:c>
      <x:c r="F6" s="30" t="str">
        <x:v>Como administrador, quiero que el sistema permita registro de coaches, para contar con coaches habilitados para gestionar acompañamiento, rutinas, nutrición y agenda.</x:v>
      </x:c>
      <x:c r="G6" s="30" t="str">
        <x:v>Contar con coaches habilitados para gestionar acompañamiento, rutinas, nutrición y agenda.</x:v>
      </x:c>
      <x:c r="H6" s="30" t="str">
        <x:v>Alta</x:v>
      </x:c>
      <x:c r="I6" s="28"/>
      <x:c r="J6" s="28"/>
    </x:row>
    <x:row r="7" ht="62" customHeight="1">
      <x:c r="A7" s="30" t="str">
        <x:v>HU-ACC-004</x:v>
      </x:c>
      <x:c r="B7" s="30" t="str">
        <x:v>RF-004</x:v>
      </x:c>
      <x:c r="C7" s="30" t="str">
        <x:v>CU-04</x:v>
      </x:c>
      <x:c r="D7" s="30" t="str">
        <x:v>Usuario</x:v>
      </x:c>
      <x:c r="E7" s="30" t="str">
        <x:v>Inicio de sesión</x:v>
      </x:c>
      <x:c r="F7" s="30" t="str">
        <x:v>Como usuario, quiero que el sistema permita inicio de sesión, para garantizar acceso seguro y diferenciado según el rol del usuario.</x:v>
      </x:c>
      <x:c r="G7" s="30" t="str">
        <x:v>Garantizar acceso seguro y diferenciado según el rol del usuario.</x:v>
      </x:c>
      <x:c r="H7" s="30" t="str">
        <x:v>Alta</x:v>
      </x:c>
      <x:c r="I7" s="28"/>
      <x:c r="J7" s="28"/>
    </x:row>
    <x:row r="8" ht="62" customHeight="1">
      <x:c r="A8" s="30" t="str">
        <x:v>HU-ACC-005</x:v>
      </x:c>
      <x:c r="B8" s="30" t="str">
        <x:v>RF-005</x:v>
      </x:c>
      <x:c r="C8" s="30" t="str">
        <x:v>CU-05</x:v>
      </x:c>
      <x:c r="D8" s="30" t="str">
        <x:v>Usuario</x:v>
      </x:c>
      <x:c r="E8" s="30" t="str">
        <x:v>Recuperación de contraseña</x:v>
      </x:c>
      <x:c r="F8" s="30" t="str">
        <x:v>Como usuario, quiero que el sistema permita recuperación de contraseña, para reducir bloqueos operativos cuando un usuario olvida su contraseña.</x:v>
      </x:c>
      <x:c r="G8" s="30" t="str">
        <x:v>Reducir bloqueos operativos cuando un usuario olvida su contraseña.</x:v>
      </x:c>
      <x:c r="H8" s="30" t="str">
        <x:v>Alta</x:v>
      </x:c>
      <x:c r="I8" s="28"/>
      <x:c r="J8" s="28"/>
    </x:row>
    <x:row r="9" ht="62" customHeight="1">
      <x:c r="A9" s="30" t="str">
        <x:v>HU-ACC-006</x:v>
      </x:c>
      <x:c r="B9" s="30" t="str">
        <x:v>RF-006</x:v>
      </x:c>
      <x:c r="C9" s="30" t="str">
        <x:v>CU-06</x:v>
      </x:c>
      <x:c r="D9" s="30" t="str">
        <x:v>Administrador</x:v>
      </x:c>
      <x:c r="E9" s="30" t="str">
        <x:v>Gestión de usuarios</x:v>
      </x:c>
      <x:c r="F9" s="30" t="str">
        <x:v>Como administrador, quiero que el sistema permita gestión de usuarios, para mantener control del ciclo de vida de usuarios, roles y estados de cuenta.</x:v>
      </x:c>
      <x:c r="G9" s="30" t="str">
        <x:v>Mantener control del ciclo de vida de usuarios, roles y estados de cuenta.</x:v>
      </x:c>
      <x:c r="H9" s="30" t="str">
        <x:v>Alta</x:v>
      </x:c>
      <x:c r="I9" s="28"/>
      <x:c r="J9" s="28"/>
    </x:row>
    <x:row r="10" ht="62" customHeight="1">
      <x:c r="A10" s="30" t="str">
        <x:v>HU-PER-007</x:v>
      </x:c>
      <x:c r="B10" s="30" t="str">
        <x:v>RF-007</x:v>
      </x:c>
      <x:c r="C10" s="30" t="str">
        <x:v>CU-07</x:v>
      </x:c>
      <x:c r="D10" s="30" t="str">
        <x:v>Cliente</x:v>
      </x:c>
      <x:c r="E10" s="30" t="str">
        <x:v>Actualización de datos personales</x:v>
      </x:c>
      <x:c r="F10" s="30" t="str">
        <x:v>Como cliente, quiero que el sistema permita actualización de datos personales, para mantener actualizada la información de contacto para seguimiento y notificaciones.</x:v>
      </x:c>
      <x:c r="G10" s="30" t="str">
        <x:v>Mantener actualizada la información de contacto para seguimiento y notificaciones.</x:v>
      </x:c>
      <x:c r="H10" s="30" t="str">
        <x:v>Alta</x:v>
      </x:c>
      <x:c r="I10" s="28"/>
      <x:c r="J10" s="28"/>
    </x:row>
    <x:row r="11" ht="62" customHeight="1">
      <x:c r="A11" s="30" t="str">
        <x:v>HU-PER-008</x:v>
      </x:c>
      <x:c r="B11" s="30" t="str">
        <x:v>RF-008</x:v>
      </x:c>
      <x:c r="C11" s="30" t="str">
        <x:v>CU-08</x:v>
      </x:c>
      <x:c r="D11" s="30" t="str">
        <x:v>Cliente</x:v>
      </x:c>
      <x:c r="E11" s="30" t="str">
        <x:v>Actualización de datos físicos</x:v>
      </x:c>
      <x:c r="F11" s="30" t="str">
        <x:v>Como cliente, quiero que el sistema permita actualización de datos físicos, para tener datos físicos actualizados para personalizar el proceso fitness.</x:v>
      </x:c>
      <x:c r="G11" s="30" t="str">
        <x:v>Tener datos físicos actualizados para personalizar el proceso fitness.</x:v>
      </x:c>
      <x:c r="H11" s="30" t="str">
        <x:v>Alta</x:v>
      </x:c>
      <x:c r="I11" s="28"/>
      <x:c r="J11" s="28"/>
    </x:row>
    <x:row r="12" ht="62" customHeight="1">
      <x:c r="A12" s="30" t="str">
        <x:v>HU-PER-009</x:v>
      </x:c>
      <x:c r="B12" s="30" t="str">
        <x:v>RF-009</x:v>
      </x:c>
      <x:c r="C12" s="30" t="str">
        <x:v>CU-09</x:v>
      </x:c>
      <x:c r="D12" s="30" t="str">
        <x:v>Administrador</x:v>
      </x:c>
      <x:c r="E12" s="30" t="str">
        <x:v>Asignación de coach</x:v>
      </x:c>
      <x:c r="F12" s="30" t="str">
        <x:v>Como administrador, quiero que el sistema permita asignación de coach, para asignar acompañamiento profesional solo cuando el plan lo requiera.</x:v>
      </x:c>
      <x:c r="G12" s="30" t="str">
        <x:v>Asignar acompañamiento profesional solo cuando el plan lo requiera.</x:v>
      </x:c>
      <x:c r="H12" s="30" t="str">
        <x:v>Alta</x:v>
      </x:c>
      <x:c r="I12" s="28"/>
      <x:c r="J12" s="28"/>
    </x:row>
    <x:row r="13" ht="62" customHeight="1">
      <x:c r="A13" s="30" t="str">
        <x:v>HU-ENT-010</x:v>
      </x:c>
      <x:c r="B13" s="30" t="str">
        <x:v>RF-010</x:v>
      </x:c>
      <x:c r="C13" s="30" t="str">
        <x:v>CU-10</x:v>
      </x:c>
      <x:c r="D13" s="30" t="str">
        <x:v>Coach</x:v>
      </x:c>
      <x:c r="E13" s="30" t="str">
        <x:v>Creación de plan de entrenamiento</x:v>
      </x:c>
      <x:c r="F13" s="30" t="str">
        <x:v>Como coach, quiero que el sistema permita creación de plan de entrenamiento, para crear entrenamiento coherente con los objetivos y acceso del cliente.</x:v>
      </x:c>
      <x:c r="G13" s="30" t="str">
        <x:v>Crear entrenamiento coherente con los objetivos y acceso del cliente.</x:v>
      </x:c>
      <x:c r="H13" s="30" t="str">
        <x:v>Alta</x:v>
      </x:c>
      <x:c r="I13" s="28"/>
      <x:c r="J13" s="28"/>
    </x:row>
    <x:row r="14" ht="62" customHeight="1">
      <x:c r="A14" s="30" t="str">
        <x:v>HU-ENT-011</x:v>
      </x:c>
      <x:c r="B14" s="30" t="str">
        <x:v>RF-011</x:v>
      </x:c>
      <x:c r="C14" s="30" t="str">
        <x:v>CU-11</x:v>
      </x:c>
      <x:c r="D14" s="30" t="str">
        <x:v>Coach</x:v>
      </x:c>
      <x:c r="E14" s="30" t="str">
        <x:v>Asignación de rutinas</x:v>
      </x:c>
      <x:c r="F14" s="30" t="str">
        <x:v>Como coach, quiero que el sistema permita asignación de rutinas, para organizar rutinas claras dentro del plan de entrenamiento.</x:v>
      </x:c>
      <x:c r="G14" s="30" t="str">
        <x:v>Organizar rutinas claras dentro del plan de entrenamiento.</x:v>
      </x:c>
      <x:c r="H14" s="30" t="str">
        <x:v>Alta</x:v>
      </x:c>
      <x:c r="I14" s="28"/>
      <x:c r="J14" s="28"/>
    </x:row>
    <x:row r="15" ht="62" customHeight="1">
      <x:c r="A15" s="30" t="str">
        <x:v>HU-ENT-012</x:v>
      </x:c>
      <x:c r="B15" s="30" t="str">
        <x:v>RF-012</x:v>
      </x:c>
      <x:c r="C15" s="30" t="str">
        <x:v>CU-12</x:v>
      </x:c>
      <x:c r="D15" s="30" t="str">
        <x:v>Coach / Administrador</x:v>
      </x:c>
      <x:c r="E15" s="30" t="str">
        <x:v>Carga de material de entrenamiento y videos</x:v>
      </x:c>
      <x:c r="F15" s="30" t="str">
        <x:v>Como coach o administrador, quiero que el sistema permita carga de material de entrenamiento y videos, para complementar el aprendizaje con materiales, videos y recursos de apoyo.</x:v>
      </x:c>
      <x:c r="G15" s="30" t="str">
        <x:v>Complementar el aprendizaje con materiales, videos y recursos de apoyo.</x:v>
      </x:c>
      <x:c r="H15" s="30" t="str">
        <x:v>Media</x:v>
      </x:c>
      <x:c r="I15" s="28"/>
      <x:c r="J15" s="28"/>
    </x:row>
    <x:row r="16" ht="62" customHeight="1">
      <x:c r="A16" s="30" t="str">
        <x:v>HU-ENT-013</x:v>
      </x:c>
      <x:c r="B16" s="30" t="str">
        <x:v>RF-013</x:v>
      </x:c>
      <x:c r="C16" s="30" t="str">
        <x:v>CU-13</x:v>
      </x:c>
      <x:c r="D16" s="30" t="str">
        <x:v>Cliente</x:v>
      </x:c>
      <x:c r="E16" s="30" t="str">
        <x:v>Visualización de rutinas y programa virtual</x:v>
      </x:c>
      <x:c r="F16" s="30" t="str">
        <x:v>Como cliente, quiero que el sistema permita visualización de rutinas y programa virtual, para permitir que el cliente consuma únicamente el contenido incluido en su plan vigente.</x:v>
      </x:c>
      <x:c r="G16" s="30" t="str">
        <x:v>Permitir que el cliente consuma únicamente el contenido incluido en su plan vigente.</x:v>
      </x:c>
      <x:c r="H16" s="30" t="str">
        <x:v>Alta</x:v>
      </x:c>
      <x:c r="I16" s="28"/>
      <x:c r="J16" s="28"/>
    </x:row>
    <x:row r="17" ht="62" customHeight="1">
      <x:c r="A17" s="30" t="str">
        <x:v>HU-ENT-014</x:v>
      </x:c>
      <x:c r="B17" s="30" t="str">
        <x:v>RF-014</x:v>
      </x:c>
      <x:c r="C17" s="30" t="str">
        <x:v>CU-14</x:v>
      </x:c>
      <x:c r="D17" s="30" t="str">
        <x:v>Cliente</x:v>
      </x:c>
      <x:c r="E17" s="30" t="str">
        <x:v>Registro de rutinas completadas y avance en videos</x:v>
      </x:c>
      <x:c r="F17" s="30" t="str">
        <x:v>Como cliente, quiero que el sistema permita registro de rutinas completadas y avance en videos, para medir adherencia y avance tanto en rutinas como en videos del programa virtual.</x:v>
      </x:c>
      <x:c r="G17" s="30" t="str">
        <x:v>Medir adherencia y avance tanto en rutinas como en videos del programa virtual.</x:v>
      </x:c>
      <x:c r="H17" s="30" t="str">
        <x:v>Alta</x:v>
      </x:c>
      <x:c r="I17" s="28"/>
      <x:c r="J17" s="28"/>
    </x:row>
    <x:row r="18" ht="62" customHeight="1">
      <x:c r="A18" s="30" t="str">
        <x:v>HU-ENT-015</x:v>
      </x:c>
      <x:c r="B18" s="30" t="str">
        <x:v>RF-015</x:v>
      </x:c>
      <x:c r="C18" s="30" t="str">
        <x:v>CU-15</x:v>
      </x:c>
      <x:c r="D18" s="30" t="str">
        <x:v>Coach</x:v>
      </x:c>
      <x:c r="E18" s="30" t="str">
        <x:v>Modificación de rutinas</x:v>
      </x:c>
      <x:c r="F18" s="30" t="str">
        <x:v>Como coach, quiero que el sistema permita modificación de rutinas, para adaptar rutinas cuando cambien los objetivos o evolución del cliente.</x:v>
      </x:c>
      <x:c r="G18" s="30" t="str">
        <x:v>Adaptar rutinas cuando cambien los objetivos o evolución del cliente.</x:v>
      </x:c>
      <x:c r="H18" s="30" t="str">
        <x:v>Alta</x:v>
      </x:c>
      <x:c r="I18" s="28"/>
      <x:c r="J18" s="28"/>
    </x:row>
    <x:row r="19" ht="62" customHeight="1">
      <x:c r="A19" s="30" t="str">
        <x:v>HU-ENT-016</x:v>
      </x:c>
      <x:c r="B19" s="30" t="str">
        <x:v>RF-016</x:v>
      </x:c>
      <x:c r="C19" s="30" t="str">
        <x:v>CU-16</x:v>
      </x:c>
      <x:c r="D19" s="30" t="str">
        <x:v>Coach</x:v>
      </x:c>
      <x:c r="E19" s="30" t="str">
        <x:v>Programación de entrenamientos</x:v>
      </x:c>
      <x:c r="F19" s="30" t="str">
        <x:v>Como coach, quiero que el sistema permita programación de entrenamientos, para coordinar sesiones de entrenamiento con agenda y control de participantes.</x:v>
      </x:c>
      <x:c r="G19" s="30" t="str">
        <x:v>Coordinar sesiones de entrenamiento con agenda y control de participantes.</x:v>
      </x:c>
      <x:c r="H19" s="30" t="str">
        <x:v>Alta</x:v>
      </x:c>
      <x:c r="I19" s="28"/>
      <x:c r="J19" s="28"/>
    </x:row>
    <x:row r="20" ht="62" customHeight="1">
      <x:c r="A20" s="30" t="str">
        <x:v>HU-NUT-017</x:v>
      </x:c>
      <x:c r="B20" s="30" t="str">
        <x:v>RF-017</x:v>
      </x:c>
      <x:c r="C20" s="30" t="str">
        <x:v>CU-17</x:v>
      </x:c>
      <x:c r="D20" s="30" t="str">
        <x:v>Coach</x:v>
      </x:c>
      <x:c r="E20" s="30" t="str">
        <x:v>Creación de plan nutricional</x:v>
      </x:c>
      <x:c r="F20" s="30" t="str">
        <x:v>Como coach, quiero que el sistema permita creación de plan nutricional, para diseñar una guía nutricional alineada con objetivos y necesidades del cliente.</x:v>
      </x:c>
      <x:c r="G20" s="30" t="str">
        <x:v>Diseñar una guía nutricional alineada con objetivos y necesidades del cliente.</x:v>
      </x:c>
      <x:c r="H20" s="30" t="str">
        <x:v>Alta</x:v>
      </x:c>
      <x:c r="I20" s="28"/>
      <x:c r="J20" s="28"/>
    </x:row>
    <x:row r="21" ht="62" customHeight="1">
      <x:c r="A21" s="30" t="str">
        <x:v>HU-NUT-018</x:v>
      </x:c>
      <x:c r="B21" s="30" t="str">
        <x:v>RF-018</x:v>
      </x:c>
      <x:c r="C21" s="30" t="str">
        <x:v>CU-18</x:v>
      </x:c>
      <x:c r="D21" s="30" t="str">
        <x:v>Coach</x:v>
      </x:c>
      <x:c r="E21" s="30" t="str">
        <x:v>Asignación de plan nutricional</x:v>
      </x:c>
      <x:c r="F21" s="30" t="str">
        <x:v>Como coach, quiero que el sistema permita asignación de plan nutricional, para vincular al cliente con el plan nutricional correcto dentro de su proceso activo.</x:v>
      </x:c>
      <x:c r="G21" s="30" t="str">
        <x:v>Vincular al cliente con el plan nutricional correcto dentro de su proceso activo.</x:v>
      </x:c>
      <x:c r="H21" s="30" t="str">
        <x:v>Alta</x:v>
      </x:c>
      <x:c r="I21" s="28"/>
      <x:c r="J21" s="28"/>
    </x:row>
    <x:row r="22" ht="62" customHeight="1">
      <x:c r="A22" s="30" t="str">
        <x:v>HU-NUT-019</x:v>
      </x:c>
      <x:c r="B22" s="30" t="str">
        <x:v>RF-019</x:v>
      </x:c>
      <x:c r="C22" s="30" t="str">
        <x:v>CU-19</x:v>
      </x:c>
      <x:c r="D22" s="30" t="str">
        <x:v>Cliente</x:v>
      </x:c>
      <x:c r="E22" s="30" t="str">
        <x:v>Visualización de plan nutricional</x:v>
      </x:c>
      <x:c r="F22" s="30" t="str">
        <x:v>Como cliente, quiero que el sistema permita visualización de plan nutricional, para dar acceso claro al contenido nutricional solo cuando el módulo esté habilitado.</x:v>
      </x:c>
      <x:c r="G22" s="30" t="str">
        <x:v>Dar acceso claro al contenido nutricional solo cuando el módulo esté habilitado.</x:v>
      </x:c>
      <x:c r="H22" s="30" t="str">
        <x:v>Alta</x:v>
      </x:c>
      <x:c r="I22" s="28"/>
      <x:c r="J22" s="28"/>
    </x:row>
    <x:row r="23" ht="62" customHeight="1">
      <x:c r="A23" s="30" t="str">
        <x:v>HU-NUT-020</x:v>
      </x:c>
      <x:c r="B23" s="30" t="str">
        <x:v>RF-020</x:v>
      </x:c>
      <x:c r="C23" s="30" t="str">
        <x:v>CU-20</x:v>
      </x:c>
      <x:c r="D23" s="30" t="str">
        <x:v>Coach</x:v>
      </x:c>
      <x:c r="E23" s="30" t="str">
        <x:v>Actualización de plan nutricional</x:v>
      </x:c>
      <x:c r="F23" s="30" t="str">
        <x:v>Como coach, quiero que el sistema permita actualización de plan nutricional, para actualizar la orientación nutricional según el avance del cliente.</x:v>
      </x:c>
      <x:c r="G23" s="30" t="str">
        <x:v>Actualizar la orientación nutricional según el avance del cliente.</x:v>
      </x:c>
      <x:c r="H23" s="30" t="str">
        <x:v>Alta</x:v>
      </x:c>
      <x:c r="I23" s="28"/>
      <x:c r="J23" s="28"/>
    </x:row>
    <x:row r="24" ht="62" customHeight="1">
      <x:c r="A24" s="30" t="str">
        <x:v>HU-NUT-021</x:v>
      </x:c>
      <x:c r="B24" s="30" t="str">
        <x:v>RF-021</x:v>
      </x:c>
      <x:c r="C24" s="30" t="str">
        <x:v>CU-21</x:v>
      </x:c>
      <x:c r="D24" s="30" t="str">
        <x:v>Coach</x:v>
      </x:c>
      <x:c r="E24" s="30" t="str">
        <x:v>Registro de recomendaciones nutricionales</x:v>
      </x:c>
      <x:c r="F24" s="30" t="str">
        <x:v>Como coach, quiero que el sistema permita registro de recomendaciones nutricionales, para complementar el plan con indicaciones profesionales adicionales.</x:v>
      </x:c>
      <x:c r="G24" s="30" t="str">
        <x:v>Complementar el plan con indicaciones profesionales adicionales.</x:v>
      </x:c>
      <x:c r="H24" s="30" t="str">
        <x:v>Media</x:v>
      </x:c>
      <x:c r="I24" s="28"/>
      <x:c r="J24" s="28"/>
    </x:row>
    <x:row r="25" ht="62" customHeight="1">
      <x:c r="A25" s="30" t="str">
        <x:v>HU-PRO-022</x:v>
      </x:c>
      <x:c r="B25" s="30" t="str">
        <x:v>RF-022</x:v>
      </x:c>
      <x:c r="C25" s="30" t="str">
        <x:v>CU-22</x:v>
      </x:c>
      <x:c r="D25" s="30" t="str">
        <x:v>Cliente</x:v>
      </x:c>
      <x:c r="E25" s="30" t="str">
        <x:v>Registro de peso</x:v>
      </x:c>
      <x:c r="F25" s="30" t="str">
        <x:v>Como cliente, quiero que el sistema permita registro de peso, para registrar una métrica básica de evolución física.</x:v>
      </x:c>
      <x:c r="G25" s="30" t="str">
        <x:v>Registrar una métrica básica de evolución física.</x:v>
      </x:c>
      <x:c r="H25" s="30" t="str">
        <x:v>Alta</x:v>
      </x:c>
      <x:c r="I25" s="28"/>
      <x:c r="J25" s="28"/>
    </x:row>
    <x:row r="26" ht="62" customHeight="1">
      <x:c r="A26" s="30" t="str">
        <x:v>HU-PRO-023</x:v>
      </x:c>
      <x:c r="B26" s="30" t="str">
        <x:v>RF-023</x:v>
      </x:c>
      <x:c r="C26" s="30" t="str">
        <x:v>CU-23</x:v>
      </x:c>
      <x:c r="D26" s="30" t="str">
        <x:v>Cliente</x:v>
      </x:c>
      <x:c r="E26" s="30" t="str">
        <x:v>Registro de medidas corporales</x:v>
      </x:c>
      <x:c r="F26" s="30" t="str">
        <x:v>Como cliente, quiero que el sistema permita registro de medidas corporales, para complementar el seguimiento con medidas corporales verificables.</x:v>
      </x:c>
      <x:c r="G26" s="30" t="str">
        <x:v>Complementar el seguimiento con medidas corporales verificables.</x:v>
      </x:c>
      <x:c r="H26" s="30" t="str">
        <x:v>Alta</x:v>
      </x:c>
      <x:c r="I26" s="28"/>
      <x:c r="J26" s="28"/>
    </x:row>
    <x:row r="27" ht="62" customHeight="1">
      <x:c r="A27" s="30" t="str">
        <x:v>HU-PRO-024</x:v>
      </x:c>
      <x:c r="B27" s="30" t="str">
        <x:v>RF-024</x:v>
      </x:c>
      <x:c r="C27" s="30" t="str">
        <x:v>CU-24</x:v>
      </x:c>
      <x:c r="D27" s="30" t="str">
        <x:v>Cliente</x:v>
      </x:c>
      <x:c r="E27" s="30" t="str">
        <x:v>Registro fotográfico de progreso</x:v>
      </x:c>
      <x:c r="F27" s="30" t="str">
        <x:v>Como cliente, quiero que el sistema permita registro fotográfico de progreso, para conservar evidencia visual del progreso del cliente.</x:v>
      </x:c>
      <x:c r="G27" s="30" t="str">
        <x:v>Conservar evidencia visual del progreso del cliente.</x:v>
      </x:c>
      <x:c r="H27" s="30" t="str">
        <x:v>Media</x:v>
      </x:c>
      <x:c r="I27" s="28"/>
      <x:c r="J27" s="28"/>
    </x:row>
    <x:row r="28" ht="62" customHeight="1">
      <x:c r="A28" s="30" t="str">
        <x:v>HU-PRO-025</x:v>
      </x:c>
      <x:c r="B28" s="30" t="str">
        <x:v>RF-025</x:v>
      </x:c>
      <x:c r="C28" s="30" t="str">
        <x:v>CU-25</x:v>
      </x:c>
      <x:c r="D28" s="30" t="str">
        <x:v>Cliente</x:v>
      </x:c>
      <x:c r="E28" s="30" t="str">
        <x:v>Historial de progreso</x:v>
      </x:c>
      <x:c r="F28" s="30" t="str">
        <x:v>Como cliente, quiero que el sistema permita historial de progreso, para consultar el avance histórico sin alterar registros previos.</x:v>
      </x:c>
      <x:c r="G28" s="30" t="str">
        <x:v>Consultar el avance histórico sin alterar registros previos.</x:v>
      </x:c>
      <x:c r="H28" s="30" t="str">
        <x:v>Alta</x:v>
      </x:c>
      <x:c r="I28" s="28"/>
      <x:c r="J28" s="28"/>
    </x:row>
    <x:row r="29" ht="62" customHeight="1">
      <x:c r="A29" s="30" t="str">
        <x:v>HU-PRO-026</x:v>
      </x:c>
      <x:c r="B29" s="30" t="str">
        <x:v>RF-026</x:v>
      </x:c>
      <x:c r="C29" s="30" t="str">
        <x:v>CU-26</x:v>
      </x:c>
      <x:c r="D29" s="30" t="str">
        <x:v>Cliente</x:v>
      </x:c>
      <x:c r="E29" s="30" t="str">
        <x:v>Comparación de progreso</x:v>
      </x:c>
      <x:c r="F29" s="30" t="str">
        <x:v>Como cliente, quiero que el sistema permita comparación de progreso, para comparar periodos para comprender resultados de forma más clara.</x:v>
      </x:c>
      <x:c r="G29" s="30" t="str">
        <x:v>Comparar periodos para comprender resultados de forma más clara.</x:v>
      </x:c>
      <x:c r="H29" s="30" t="str">
        <x:v>Media</x:v>
      </x:c>
      <x:c r="I29" s="28"/>
      <x:c r="J29" s="28"/>
    </x:row>
    <x:row r="30" ht="62" customHeight="1">
      <x:c r="A30" s="30" t="str">
        <x:v>HU-PRO-027</x:v>
      </x:c>
      <x:c r="B30" s="30" t="str">
        <x:v>RF-027</x:v>
      </x:c>
      <x:c r="C30" s="30" t="str">
        <x:v>CU-27</x:v>
      </x:c>
      <x:c r="D30" s="30" t="str">
        <x:v>Coach</x:v>
      </x:c>
      <x:c r="E30" s="30" t="str">
        <x:v>Observaciones del coach sobre progreso</x:v>
      </x:c>
      <x:c r="F30" s="30" t="str">
        <x:v>Como coach, quiero que el sistema permita observaciones del coach sobre progreso, para agregar interpretación profesional al progreso registrado.</x:v>
      </x:c>
      <x:c r="G30" s="30" t="str">
        <x:v>Agregar interpretación profesional al progreso registrado.</x:v>
      </x:c>
      <x:c r="H30" s="30" t="str">
        <x:v>Media</x:v>
      </x:c>
      <x:c r="I30" s="28"/>
      <x:c r="J30" s="28"/>
    </x:row>
    <x:row r="31" ht="62" customHeight="1">
      <x:c r="A31" s="30" t="str">
        <x:v>HU-PAG-028</x:v>
      </x:c>
      <x:c r="B31" s="30" t="str">
        <x:v>RF-028</x:v>
      </x:c>
      <x:c r="C31" s="30" t="str">
        <x:v>CU-28</x:v>
      </x:c>
      <x:c r="D31" s="30" t="str">
        <x:v>Visitante / Cliente</x:v>
      </x:c>
      <x:c r="E31" s="30" t="str">
        <x:v>Registro de pago asociado a compra</x:v>
      </x:c>
      <x:c r="F31" s="30" t="str">
        <x:v>Como usuario interesado o cliente, quiero que el sistema permita registro de pago asociado a compra, para relacionar el pago con el plan seleccionado antes de enviar la compra a revisión.</x:v>
      </x:c>
      <x:c r="G31" s="30" t="str">
        <x:v>Relacionar el pago con el plan seleccionado antes de enviar la compra a revisión.</x:v>
      </x:c>
      <x:c r="H31" s="30" t="str">
        <x:v>Alta</x:v>
      </x:c>
      <x:c r="I31" s="28"/>
      <x:c r="J31" s="28"/>
    </x:row>
    <x:row r="32" ht="62" customHeight="1">
      <x:c r="A32" s="30" t="str">
        <x:v>HU-PAG-029</x:v>
      </x:c>
      <x:c r="B32" s="30" t="str">
        <x:v>RF-029</x:v>
      </x:c>
      <x:c r="C32" s="30" t="str">
        <x:v>CU-29</x:v>
      </x:c>
      <x:c r="D32" s="30" t="str">
        <x:v>Administrador</x:v>
      </x:c>
      <x:c r="E32" s="30" t="str">
        <x:v>Validación de solicitud de compra y pago</x:v>
      </x:c>
      <x:c r="F32" s="30" t="str">
        <x:v>Como administrador, quiero que el sistema permita validación de solicitud de compra y pago, para asegurar que solo compras revisadas por administración activen clientes y accesos.</x:v>
      </x:c>
      <x:c r="G32" s="30" t="str">
        <x:v>Asegurar que solo compras revisadas por administración activen clientes y accesos.</x:v>
      </x:c>
      <x:c r="H32" s="30" t="str">
        <x:v>Alta</x:v>
      </x:c>
      <x:c r="I32" s="28"/>
      <x:c r="J32" s="28"/>
    </x:row>
    <x:row r="33" ht="62" customHeight="1">
      <x:c r="A33" s="30" t="str">
        <x:v>HU-PAG-030</x:v>
      </x:c>
      <x:c r="B33" s="30" t="str">
        <x:v>RF-030</x:v>
      </x:c>
      <x:c r="C33" s="30" t="str">
        <x:v>CU-30</x:v>
      </x:c>
      <x:c r="D33" s="30" t="str">
        <x:v>Sistema</x:v>
      </x:c>
      <x:c r="E33" s="30" t="str">
        <x:v>Activación automática de cliente y accesos</x:v>
      </x:c>
      <x:c r="F33" s="30" t="str">
        <x:v>Como sistema, quiero que el sistema permita activación automática de cliente y accesos, para convertir automáticamente una compra validada en cliente activo con módulos habilitados.</x:v>
      </x:c>
      <x:c r="G33" s="30" t="str">
        <x:v>Convertir automáticamente una compra validada en cliente activo con módulos habilitados.</x:v>
      </x:c>
      <x:c r="H33" s="30" t="str">
        <x:v>Alta</x:v>
      </x:c>
      <x:c r="I33" s="28"/>
      <x:c r="J33" s="28"/>
    </x:row>
    <x:row r="34" ht="62" customHeight="1">
      <x:c r="A34" s="30" t="str">
        <x:v>HU-PAG-031</x:v>
      </x:c>
      <x:c r="B34" s="30" t="str">
        <x:v>RF-031</x:v>
      </x:c>
      <x:c r="C34" s="30" t="str">
        <x:v>CU-31</x:v>
      </x:c>
      <x:c r="D34" s="30" t="str">
        <x:v>Sistema</x:v>
      </x:c>
      <x:c r="E34" s="30" t="str">
        <x:v>Restricción de acceso a módulos sin plan vigente</x:v>
      </x:c>
      <x:c r="F34" s="30" t="str">
        <x:v>Como sistema, quiero que el sistema permita restricción de acceso a módulos sin plan vigente, para evitar acceso indebido a módulos no incluidos, vencidos o no validados.</x:v>
      </x:c>
      <x:c r="G34" s="30" t="str">
        <x:v>Evitar acceso indebido a módulos no incluidos, vencidos o no validados.</x:v>
      </x:c>
      <x:c r="H34" s="30" t="str">
        <x:v>Alta</x:v>
      </x:c>
      <x:c r="I34" s="28"/>
      <x:c r="J34" s="28"/>
    </x:row>
    <x:row r="35" ht="62" customHeight="1">
      <x:c r="A35" s="30" t="str">
        <x:v>HU-PAG-032</x:v>
      </x:c>
      <x:c r="B35" s="30" t="str">
        <x:v>RF-032</x:v>
      </x:c>
      <x:c r="C35" s="30" t="str">
        <x:v>CU-32</x:v>
      </x:c>
      <x:c r="D35" s="30" t="str">
        <x:v>Cliente</x:v>
      </x:c>
      <x:c r="E35" s="30" t="str">
        <x:v>Historial de pagos</x:v>
      </x:c>
      <x:c r="F35" s="30" t="str">
        <x:v>Como cliente, quiero que el sistema permita historial de pagos, para dar transparencia al cliente sobre sus pagos y solicitudes.</x:v>
      </x:c>
      <x:c r="G35" s="30" t="str">
        <x:v>Dar transparencia al cliente sobre sus pagos y solicitudes.</x:v>
      </x:c>
      <x:c r="H35" s="30" t="str">
        <x:v>Media</x:v>
      </x:c>
      <x:c r="I35" s="28"/>
      <x:c r="J35" s="28"/>
    </x:row>
    <x:row r="36" ht="62" customHeight="1">
      <x:c r="A36" s="30" t="str">
        <x:v>HU-PAG-033</x:v>
      </x:c>
      <x:c r="B36" s="30" t="str">
        <x:v>RF-033</x:v>
      </x:c>
      <x:c r="C36" s="30" t="str">
        <x:v>CU-33</x:v>
      </x:c>
      <x:c r="D36" s="30" t="str">
        <x:v>Sistema</x:v>
      </x:c>
      <x:c r="E36" s="30" t="str">
        <x:v>Vencimiento de planes</x:v>
      </x:c>
      <x:c r="F36" s="30" t="str">
        <x:v>Como sistema, quiero que el sistema permita vencimiento de planes, para controlar automáticamente el acceso al finalizar la vigencia del plan.</x:v>
      </x:c>
      <x:c r="G36" s="30" t="str">
        <x:v>Controlar automáticamente el acceso al finalizar la vigencia del plan.</x:v>
      </x:c>
      <x:c r="H36" s="30" t="str">
        <x:v>Alta</x:v>
      </x:c>
      <x:c r="I36" s="28"/>
      <x:c r="J36" s="28"/>
    </x:row>
    <x:row r="37" ht="62" customHeight="1">
      <x:c r="A37" s="30" t="str">
        <x:v>HU-PAG-034</x:v>
      </x:c>
      <x:c r="B37" s="30" t="str">
        <x:v>RF-034</x:v>
      </x:c>
      <x:c r="C37" s="30" t="str">
        <x:v>CU-34</x:v>
      </x:c>
      <x:c r="D37" s="30" t="str">
        <x:v>Administrador</x:v>
      </x:c>
      <x:c r="E37" s="30" t="str">
        <x:v>Gestión de catálogo de planes comerciales con cupos</x:v>
      </x:c>
      <x:c r="F37" s="30" t="str">
        <x:v>Como administrador, quiero que el sistema permita gestión de catálogo de planes comerciales con cupos, para administrar la oferta comercial con cupos, modalidad, precio e inclusiones.</x:v>
      </x:c>
      <x:c r="G37" s="30" t="str">
        <x:v>Administrar la oferta comercial con cupos, modalidad, precio e inclusiones.</x:v>
      </x:c>
      <x:c r="H37" s="30" t="str">
        <x:v>Alta</x:v>
      </x:c>
      <x:c r="I37" s="28"/>
      <x:c r="J37" s="28"/>
    </x:row>
    <x:row r="38" ht="62" customHeight="1">
      <x:c r="A38" s="30" t="str">
        <x:v>HU-PAG-035</x:v>
      </x:c>
      <x:c r="B38" s="30" t="str">
        <x:v>RF-035</x:v>
      </x:c>
      <x:c r="C38" s="30" t="str">
        <x:v>CU-35</x:v>
      </x:c>
      <x:c r="D38" s="30" t="str">
        <x:v>Cliente</x:v>
      </x:c>
      <x:c r="E38" s="30" t="str">
        <x:v>Consulta del estado de acceso a módulos adquiridos</x:v>
      </x:c>
      <x:c r="F38" s="30" t="str">
        <x:v>Como cliente, quiero que el sistema permita consulta del estado de acceso a módulos adquiridos, para permitir que el cliente conozca el estado real de sus módulos activos.</x:v>
      </x:c>
      <x:c r="G38" s="30" t="str">
        <x:v>Permitir que el cliente conozca el estado real de sus módulos activos.</x:v>
      </x:c>
      <x:c r="H38" s="30" t="str">
        <x:v>Media</x:v>
      </x:c>
      <x:c r="I38" s="28"/>
      <x:c r="J38" s="28"/>
    </x:row>
    <x:row r="39" ht="62" customHeight="1">
      <x:c r="A39" s="30" t="str">
        <x:v>HU-COM-036</x:v>
      </x:c>
      <x:c r="B39" s="30" t="str">
        <x:v>RF-036</x:v>
      </x:c>
      <x:c r="C39" s="30" t="str">
        <x:v>CU-36</x:v>
      </x:c>
      <x:c r="D39" s="30" t="str">
        <x:v>Cliente / Coach</x:v>
      </x:c>
      <x:c r="E39" s="30" t="str">
        <x:v>Chat interno cliente-coach</x:v>
      </x:c>
      <x:c r="F39" s="30" t="str">
        <x:v>Como cliente o coach, quiero que el sistema permita chat interno cliente-coach, para mantener comunicación organizada entre cliente y coach.</x:v>
      </x:c>
      <x:c r="G39" s="30" t="str">
        <x:v>Mantener comunicación organizada entre cliente y coach.</x:v>
      </x:c>
      <x:c r="H39" s="30" t="str">
        <x:v>Alta</x:v>
      </x:c>
      <x:c r="I39" s="28"/>
      <x:c r="J39" s="28"/>
    </x:row>
    <x:row r="40" ht="62" customHeight="1">
      <x:c r="A40" s="30" t="str">
        <x:v>HU-COM-037</x:v>
      </x:c>
      <x:c r="B40" s="30" t="str">
        <x:v>RF-037</x:v>
      </x:c>
      <x:c r="C40" s="30" t="str">
        <x:v>CU-37</x:v>
      </x:c>
      <x:c r="D40" s="30" t="str">
        <x:v>Coach / Administrador</x:v>
      </x:c>
      <x:c r="E40" s="30" t="str">
        <x:v>Mensajes grupales por difusión</x:v>
      </x:c>
      <x:c r="F40" s="30" t="str">
        <x:v>Como coach o administrador, quiero que el sistema permita mensajes grupales por difusión, para enviar información masiva segmentada sin perder trazabilidad.</x:v>
      </x:c>
      <x:c r="G40" s="30" t="str">
        <x:v>Enviar información masiva segmentada sin perder trazabilidad.</x:v>
      </x:c>
      <x:c r="H40" s="30" t="str">
        <x:v>Media</x:v>
      </x:c>
      <x:c r="I40" s="28"/>
      <x:c r="J40" s="28"/>
    </x:row>
    <x:row r="41" ht="62" customHeight="1">
      <x:c r="A41" s="30" t="str">
        <x:v>HU-COM-038</x:v>
      </x:c>
      <x:c r="B41" s="30" t="str">
        <x:v>RF-038</x:v>
      </x:c>
      <x:c r="C41" s="30" t="str">
        <x:v>CU-38</x:v>
      </x:c>
      <x:c r="D41" s="30" t="str">
        <x:v>Sistema</x:v>
      </x:c>
      <x:c r="E41" s="30" t="str">
        <x:v>Mensajes motivacionales automáticos</x:v>
      </x:c>
      <x:c r="F41" s="30" t="str">
        <x:v>Como sistema, quiero que el sistema permita mensajes motivacionales automáticos, para acompañar al cliente con mensajes automáticos de motivación y seguimiento.</x:v>
      </x:c>
      <x:c r="G41" s="30" t="str">
        <x:v>Acompañar al cliente con mensajes automáticos de motivación y seguimiento.</x:v>
      </x:c>
      <x:c r="H41" s="30" t="str">
        <x:v>Media</x:v>
      </x:c>
      <x:c r="I41" s="28"/>
      <x:c r="J41" s="28"/>
    </x:row>
    <x:row r="42" ht="62" customHeight="1">
      <x:c r="A42" s="30" t="str">
        <x:v>HU-COM-039</x:v>
      </x:c>
      <x:c r="B42" s="30" t="str">
        <x:v>RF-039</x:v>
      </x:c>
      <x:c r="C42" s="30" t="str">
        <x:v>CU-39</x:v>
      </x:c>
      <x:c r="D42" s="30" t="str">
        <x:v>Sistema</x:v>
      </x:c>
      <x:c r="E42" s="30" t="str">
        <x:v>Notificaciones del sistema</x:v>
      </x:c>
      <x:c r="F42" s="30" t="str">
        <x:v>Como sistema, quiero que el sistema permita notificaciones del sistema, para informar oportunamente eventos relevantes del sistema.</x:v>
      </x:c>
      <x:c r="G42" s="30" t="str">
        <x:v>Informar oportunamente eventos relevantes del sistema.</x:v>
      </x:c>
      <x:c r="H42" s="30" t="str">
        <x:v>Alta</x:v>
      </x:c>
      <x:c r="I42" s="28"/>
      <x:c r="J42" s="28"/>
    </x:row>
    <x:row r="43" ht="62" customHeight="1">
      <x:c r="A43" s="30" t="str">
        <x:v>HU-AGE-040</x:v>
      </x:c>
      <x:c r="B43" s="30" t="str">
        <x:v>RF-040</x:v>
      </x:c>
      <x:c r="C43" s="30" t="str">
        <x:v>CU-40</x:v>
      </x:c>
      <x:c r="D43" s="30" t="str">
        <x:v>Coach</x:v>
      </x:c>
      <x:c r="E43" s="30" t="str">
        <x:v>Agenda de entrenamientos del coach</x:v>
      </x:c>
      <x:c r="F43" s="30" t="str">
        <x:v>Como coach, quiero que el sistema permita agenda de entrenamientos del coach, para gestionar la agenda del coach de forma ordenada.</x:v>
      </x:c>
      <x:c r="G43" s="30" t="str">
        <x:v>Gestionar la agenda del coach de forma ordenada.</x:v>
      </x:c>
      <x:c r="H43" s="30" t="str">
        <x:v>Alta</x:v>
      </x:c>
      <x:c r="I43" s="28"/>
      <x:c r="J43" s="28"/>
    </x:row>
    <x:row r="44" ht="62" customHeight="1">
      <x:c r="A44" s="30" t="str">
        <x:v>HU-AGE-041</x:v>
      </x:c>
      <x:c r="B44" s="30" t="str">
        <x:v>RF-041</x:v>
      </x:c>
      <x:c r="C44" s="30" t="str">
        <x:v>CU-41</x:v>
      </x:c>
      <x:c r="D44" s="30" t="str">
        <x:v>Cliente</x:v>
      </x:c>
      <x:c r="E44" s="30" t="str">
        <x:v>Calendario de actividades del cliente</x:v>
      </x:c>
      <x:c r="F44" s="30" t="str">
        <x:v>Como cliente, quiero que el sistema permita calendario de actividades del cliente, para centralizar las actividades del cliente en una sola vista.</x:v>
      </x:c>
      <x:c r="G44" s="30" t="str">
        <x:v>Centralizar las actividades del cliente en una sola vista.</x:v>
      </x:c>
      <x:c r="H44" s="30" t="str">
        <x:v>Alta</x:v>
      </x:c>
      <x:c r="I44" s="28"/>
      <x:c r="J44" s="28"/>
    </x:row>
    <x:row r="45" ht="62" customHeight="1">
      <x:c r="A45" s="30" t="str">
        <x:v>HU-AGE-042</x:v>
      </x:c>
      <x:c r="B45" s="30" t="str">
        <x:v>RF-042</x:v>
      </x:c>
      <x:c r="C45" s="30" t="str">
        <x:v>CU-42</x:v>
      </x:c>
      <x:c r="D45" s="30" t="str">
        <x:v>Sistema</x:v>
      </x:c>
      <x:c r="E45" s="30" t="str">
        <x:v>Recordatorios automáticos</x:v>
      </x:c>
      <x:c r="F45" s="30" t="str">
        <x:v>Como sistema, quiero que el sistema permita recordatorios automáticos, para reducir olvidos y ausencias mediante recordatorios automáticos.</x:v>
      </x:c>
      <x:c r="G45" s="30" t="str">
        <x:v>Reducir olvidos y ausencias mediante recordatorios automáticos.</x:v>
      </x:c>
      <x:c r="H45" s="30" t="str">
        <x:v>Alta</x:v>
      </x:c>
      <x:c r="I45" s="28"/>
      <x:c r="J45" s="28"/>
    </x:row>
    <x:row r="46" ht="62" customHeight="1">
      <x:c r="A46" s="30" t="str">
        <x:v>HU-AGE-043</x:v>
      </x:c>
      <x:c r="B46" s="30" t="str">
        <x:v>RF-043</x:v>
      </x:c>
      <x:c r="C46" s="30" t="str">
        <x:v>CU-43</x:v>
      </x:c>
      <x:c r="D46" s="30" t="str">
        <x:v>Administrador / Coach</x:v>
      </x:c>
      <x:c r="E46" s="30" t="str">
        <x:v>Gestión de eventos y talleres</x:v>
      </x:c>
      <x:c r="F46" s="30" t="str">
        <x:v>Como administrador o coach, quiero que el sistema permita gestión de eventos y talleres, para administrar eventos y talleres con cupos y estado visible.</x:v>
      </x:c>
      <x:c r="G46" s="30" t="str">
        <x:v>Administrar eventos y talleres con cupos y estado visible.</x:v>
      </x:c>
      <x:c r="H46" s="30" t="str">
        <x:v>Media</x:v>
      </x:c>
      <x:c r="I46" s="28"/>
      <x:c r="J46" s="28"/>
    </x:row>
    <x:row r="47" ht="62" customHeight="1">
      <x:c r="A47" s="30" t="str">
        <x:v>HU-AGE-044</x:v>
      </x:c>
      <x:c r="B47" s="30" t="str">
        <x:v>RF-044</x:v>
      </x:c>
      <x:c r="C47" s="30" t="str">
        <x:v>CU-44</x:v>
      </x:c>
      <x:c r="D47" s="30" t="str">
        <x:v>Coach / Administrador</x:v>
      </x:c>
      <x:c r="E47" s="30" t="str">
        <x:v>Gestión de participantes en sesiones y talleres grupales</x:v>
      </x:c>
      <x:c r="F47" s="30" t="str">
        <x:v>Como coach o administrador, quiero que el sistema permita gestión de participantes en sesiones y talleres grupales, para controlar participación y asistencia en sesiones o eventos grupales.</x:v>
      </x:c>
      <x:c r="G47" s="30" t="str">
        <x:v>Controlar participación y asistencia en sesiones o eventos grupales.</x:v>
      </x:c>
      <x:c r="H47" s="30" t="str">
        <x:v>Alta</x:v>
      </x:c>
      <x:c r="I47" s="28"/>
      <x:c r="J47" s="28"/>
    </x:row>
    <x:row r="48" ht="62" customHeight="1">
      <x:c r="A48" s="30" t="str">
        <x:v>HU-AGE-045</x:v>
      </x:c>
      <x:c r="B48" s="30" t="str">
        <x:v>RF-045</x:v>
      </x:c>
      <x:c r="C48" s="30" t="str">
        <x:v>CU-45</x:v>
      </x:c>
      <x:c r="D48" s="30" t="str">
        <x:v>Coach</x:v>
      </x:c>
      <x:c r="E48" s="30" t="str">
        <x:v>Gestión de disponibilidad del coach</x:v>
      </x:c>
      <x:c r="F48" s="30" t="str">
        <x:v>Como coach, quiero que el sistema permita gestión de disponibilidad del coach, para organizar disponibilidad del coach para evitar cruces de agenda.</x:v>
      </x:c>
      <x:c r="G48" s="30" t="str">
        <x:v>Organizar disponibilidad del coach para evitar cruces de agenda.</x:v>
      </x:c>
      <x:c r="H48" s="30" t="str">
        <x:v>Alta</x:v>
      </x:c>
      <x:c r="I48" s="28"/>
      <x:c r="J48" s="28"/>
    </x:row>
    <x:row r="49" ht="62" customHeight="1">
      <x:c r="A49" s="30" t="str">
        <x:v>HU-REP-046</x:v>
      </x:c>
      <x:c r="B49" s="30" t="str">
        <x:v>RF-046</x:v>
      </x:c>
      <x:c r="C49" s="30" t="str">
        <x:v>CU-46</x:v>
      </x:c>
      <x:c r="D49" s="30" t="str">
        <x:v>Coach</x:v>
      </x:c>
      <x:c r="E49" s="30" t="str">
        <x:v>Reportes de progreso del coach</x:v>
      </x:c>
      <x:c r="F49" s="30" t="str">
        <x:v>Como coach, quiero que el sistema permita reportes de progreso del coach, para apoyar al coach con información consolidada de progreso.</x:v>
      </x:c>
      <x:c r="G49" s="30" t="str">
        <x:v>Apoyar al coach con información consolidada de progreso.</x:v>
      </x:c>
      <x:c r="H49" s="30" t="str">
        <x:v>Media</x:v>
      </x:c>
      <x:c r="I49" s="28"/>
      <x:c r="J49" s="28"/>
    </x:row>
    <x:row r="50" ht="62" customHeight="1">
      <x:c r="A50" s="30" t="str">
        <x:v>HU-REP-047</x:v>
      </x:c>
      <x:c r="B50" s="30" t="str">
        <x:v>RF-047</x:v>
      </x:c>
      <x:c r="C50" s="30" t="str">
        <x:v>CU-47</x:v>
      </x:c>
      <x:c r="D50" s="30" t="str">
        <x:v>Administrador</x:v>
      </x:c>
      <x:c r="E50" s="30" t="str">
        <x:v>Reportes administrativos</x:v>
      </x:c>
      <x:c r="F50" s="30" t="str">
        <x:v>Como administrador, quiero que el sistema permita reportes administrativos, para dar al administrador visión operativa del sistema.</x:v>
      </x:c>
      <x:c r="G50" s="30" t="str">
        <x:v>Dar al administrador visión operativa del sistema.</x:v>
      </x:c>
      <x:c r="H50" s="30" t="str">
        <x:v>Media</x:v>
      </x:c>
      <x:c r="I50" s="28"/>
      <x:c r="J50" s="28"/>
    </x:row>
    <x:row r="51" ht="62" customHeight="1">
      <x:c r="A51" s="30" t="str">
        <x:v>HU-REP-048</x:v>
      </x:c>
      <x:c r="B51" s="30" t="str">
        <x:v>RF-048</x:v>
      </x:c>
      <x:c r="C51" s="30" t="str">
        <x:v>CU-48</x:v>
      </x:c>
      <x:c r="D51" s="30" t="str">
        <x:v>Administrador</x:v>
      </x:c>
      <x:c r="E51" s="30" t="str">
        <x:v>Reportes de pagos</x:v>
      </x:c>
      <x:c r="F51" s="30" t="str">
        <x:v>Como administrador, quiero que el sistema permita reportes de pagos, para facilitar seguimiento administrativo de pagos por estado, fecha y plan.</x:v>
      </x:c>
      <x:c r="G51" s="30" t="str">
        <x:v>Facilitar seguimiento administrativo de pagos por estado, fecha y plan.</x:v>
      </x:c>
      <x:c r="H51" s="30" t="str">
        <x:v>Media</x:v>
      </x:c>
      <x:c r="I51" s="28"/>
      <x:c r="J51" s="28"/>
    </x:row>
    <x:row r="52" ht="62" customHeight="1">
      <x:c r="A52" s="30" t="str">
        <x:v>HU-REP-049</x:v>
      </x:c>
      <x:c r="B52" s="30" t="str">
        <x:v>RF-049</x:v>
      </x:c>
      <x:c r="C52" s="30" t="str">
        <x:v>CU-49</x:v>
      </x:c>
      <x:c r="D52" s="30" t="str">
        <x:v>Administrador</x:v>
      </x:c>
      <x:c r="E52" s="30" t="str">
        <x:v>Estadísticas del sistema</x:v>
      </x:c>
      <x:c r="F52" s="30" t="str">
        <x:v>Como administrador, quiero que el sistema permita estadísticas del sistema, para visualizar indicadores generales para tomar decisiones.</x:v>
      </x:c>
      <x:c r="G52" s="30" t="str">
        <x:v>Visualizar indicadores generales para tomar decisiones.</x:v>
      </x:c>
      <x:c r="H52" s="30" t="str">
        <x:v>Media</x:v>
      </x:c>
      <x:c r="I52" s="28"/>
      <x:c r="J52" s="28"/>
    </x:row>
    <x:row r="53" ht="62" customHeight="1">
      <x:c r="A53" s="30" t="str">
        <x:v>HU-COM-050</x:v>
      </x:c>
      <x:c r="B53" s="30" t="str">
        <x:v>RF-050</x:v>
      </x:c>
      <x:c r="C53" s="30" t="str">
        <x:v>CU-50</x:v>
      </x:c>
      <x:c r="D53" s="30" t="str">
        <x:v>Sistema</x:v>
      </x:c>
      <x:c r="E53" s="30" t="str">
        <x:v>Notificación de pagos pendientes</x:v>
      </x:c>
      <x:c r="F53" s="30" t="str">
        <x:v>Como sistema, quiero que el sistema permita notificación de pagos pendientes, para evitar que solicitudes o pagos pendientes queden sin revisión.</x:v>
      </x:c>
      <x:c r="G53" s="30" t="str">
        <x:v>Evitar que solicitudes o pagos pendientes queden sin revisión.</x:v>
      </x:c>
      <x:c r="H53" s="30" t="str">
        <x:v>Alta</x:v>
      </x:c>
      <x:c r="I53" s="28"/>
      <x:c r="J53" s="28"/>
    </x:row>
    <x:row r="54" ht="62" customHeight="1">
      <x:c r="A54" s="30" t="str">
        <x:v>HU-COM-051</x:v>
      </x:c>
      <x:c r="B54" s="30" t="str">
        <x:v>RF-051</x:v>
      </x:c>
      <x:c r="C54" s="30" t="str">
        <x:v>CU-51</x:v>
      </x:c>
      <x:c r="D54" s="30" t="str">
        <x:v>Sistema</x:v>
      </x:c>
      <x:c r="E54" s="30" t="str">
        <x:v>Notificación de vencimiento de planes</x:v>
      </x:c>
      <x:c r="F54" s="30" t="str">
        <x:v>Como sistema, quiero que el sistema permita notificación de vencimiento de planes, para informar al cliente sobre vencimientos próximos o vencidos.</x:v>
      </x:c>
      <x:c r="G54" s="30" t="str">
        <x:v>Informar al cliente sobre vencimientos próximos o vencidos.</x:v>
      </x:c>
      <x:c r="H54" s="30" t="str">
        <x:v>Alta</x:v>
      </x:c>
      <x:c r="I54" s="28"/>
      <x:c r="J54" s="28"/>
    </x:row>
    <x:row r="55" ht="62" customHeight="1">
      <x:c r="A55" s="30" t="str">
        <x:v>HU-COM-052</x:v>
      </x:c>
      <x:c r="B55" s="30" t="str">
        <x:v>RF-052</x:v>
      </x:c>
      <x:c r="C55" s="30" t="str">
        <x:v>CU-52</x:v>
      </x:c>
      <x:c r="D55" s="30" t="str">
        <x:v>Sistema</x:v>
      </x:c>
      <x:c r="E55" s="30" t="str">
        <x:v>Notificación de nuevas rutinas</x:v>
      </x:c>
      <x:c r="F55" s="30" t="str">
        <x:v>Como sistema, quiero que el sistema permita notificación de nuevas rutinas, para avisar oportunamente cuando el coach asigne o actualice una rutina.</x:v>
      </x:c>
      <x:c r="G55" s="30" t="str">
        <x:v>Avisar oportunamente cuando el coach asigne o actualice una rutina.</x:v>
      </x:c>
      <x:c r="H55" s="30" t="str">
        <x:v>Alta</x:v>
      </x:c>
      <x:c r="I55" s="28"/>
      <x:c r="J55" s="28"/>
    </x:row>
    <x:row r="56" ht="62" customHeight="1">
      <x:c r="A56" s="30" t="str">
        <x:v>HU-COM-053</x:v>
      </x:c>
      <x:c r="B56" s="30" t="str">
        <x:v>RF-053</x:v>
      </x:c>
      <x:c r="C56" s="30" t="str">
        <x:v>CU-53</x:v>
      </x:c>
      <x:c r="D56" s="30" t="str">
        <x:v>Sistema</x:v>
      </x:c>
      <x:c r="E56" s="30" t="str">
        <x:v>Notificación de actualización nutricional</x:v>
      </x:c>
      <x:c r="F56" s="30" t="str">
        <x:v>Como sistema, quiero que el sistema permita notificación de actualización nutricional, para notificar cambios nutricionales relevantes al cliente.</x:v>
      </x:c>
      <x:c r="G56" s="30" t="str">
        <x:v>Notificar cambios nutricionales relevantes al cliente.</x:v>
      </x:c>
      <x:c r="H56" s="30" t="str">
        <x:v>Alta</x:v>
      </x:c>
      <x:c r="I56" s="28"/>
      <x:c r="J56" s="28"/>
    </x:row>
    <x:row r="57" ht="62" customHeight="1">
      <x:c r="A57" s="30" t="str">
        <x:v>HU-INS-054</x:v>
      </x:c>
      <x:c r="B57" s="30" t="str">
        <x:v>RF-054</x:v>
      </x:c>
      <x:c r="C57" s="30" t="str">
        <x:v>CU-54</x:v>
      </x:c>
      <x:c r="D57" s="30" t="str">
        <x:v>Administrador</x:v>
      </x:c>
      <x:c r="E57" s="30" t="str">
        <x:v>Gestión de instituciones</x:v>
      </x:c>
      <x:c r="F57" s="30" t="str">
        <x:v>Como administrador, quiero que el sistema permita gestión de instituciones, para registrar instituciones aliadas o vinculadas a la plataforma.</x:v>
      </x:c>
      <x:c r="G57" s="30" t="str">
        <x:v>Registrar instituciones aliadas o vinculadas a la plataforma.</x:v>
      </x:c>
      <x:c r="H57" s="30" t="str">
        <x:v>Alta</x:v>
      </x:c>
      <x:c r="I57" s="28"/>
      <x:c r="J57" s="28"/>
    </x:row>
    <x:row r="58" ht="62" customHeight="1">
      <x:c r="A58" s="30" t="str">
        <x:v>HU-INS-055</x:v>
      </x:c>
      <x:c r="B58" s="30" t="str">
        <x:v>RF-055</x:v>
      </x:c>
      <x:c r="C58" s="30" t="str">
        <x:v>CU-55</x:v>
      </x:c>
      <x:c r="D58" s="30" t="str">
        <x:v>Administrador</x:v>
      </x:c>
      <x:c r="E58" s="30" t="str">
        <x:v>Vinculación de clientes a instituciones</x:v>
      </x:c>
      <x:c r="F58" s="30" t="str">
        <x:v>Como administrador, quiero que el sistema permita vinculación de clientes a instituciones, para mantener trazabilidad entre clientes activos e instituciones.</x:v>
      </x:c>
      <x:c r="G58" s="30" t="str">
        <x:v>Mantener trazabilidad entre clientes activos e instituciones.</x:v>
      </x:c>
      <x:c r="H58" s="30" t="str">
        <x:v>Alta</x:v>
      </x:c>
      <x:c r="I58" s="28"/>
      <x:c r="J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H1"/>
  </x:mergeCells>
  <x:dataValidations count="1">
    <x:dataValidation type="list" sqref="H4:H58">
      <x:formula1>"Alta,Media,Baja"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36" hidden="0" customWidth="1"/>
    <x:col min="5" max="5" width="54" hidden="0" customWidth="1"/>
    <x:col min="6" max="6" width="54" hidden="0" customWidth="1"/>
    <x:col min="7" max="7" width="58" hidden="0" customWidth="1"/>
  </x:cols>
  <x:sheetData>
    <x:row r="1" ht="26" customHeight="1">
      <x:c r="A1" s="36" t="str">
        <x:v>Criterios de aceptación actualizados por historia de usuario</x:v>
      </x:c>
      <x:c r="B1" s="36"/>
      <x:c r="C1" s="36"/>
      <x:c r="D1" s="36"/>
      <x:c r="E1" s="36"/>
      <x:c r="F1" s="36"/>
      <x:c r="G1" s="36"/>
      <x:c r="H1" s="28"/>
      <x:c r="I1" s="28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9" t="str">
        <x:v>ID HU</x:v>
      </x:c>
      <x:c r="B3" s="39" t="str">
        <x:v>RF</x:v>
      </x:c>
      <x:c r="C3" s="39" t="str">
        <x:v>Nro</x:v>
      </x:c>
      <x:c r="D3" s="39" t="str">
        <x:v>Título del criterio</x:v>
      </x:c>
      <x:c r="E3" s="39" t="str">
        <x:v>Dado</x:v>
      </x:c>
      <x:c r="F3" s="39" t="str">
        <x:v>Cuando</x:v>
      </x:c>
      <x:c r="G3" s="39" t="str">
        <x:v>Entonces</x:v>
      </x:c>
      <x:c r="H3" s="28"/>
      <x:c r="I3" s="28"/>
      <x:c r="J3" s="28"/>
    </x:row>
    <x:row r="4" ht="68" customHeight="1">
      <x:c r="A4" s="30" t="str">
        <x:v>HU-ACC-001</x:v>
      </x:c>
      <x:c r="B4" s="30" t="str">
        <x:v>RF-001</x:v>
      </x:c>
      <x:c r="C4" s="30" t="n">
        <x:v>1</x:v>
      </x:c>
      <x:c r="D4" s="30" t="str">
        <x:v>Consulta, selección y solicitud de compra de plan ejecutado correctamente</x:v>
      </x:c>
      <x:c r="E4" s="30" t="str">
        <x:v>Dado que el actor Visitante / Usuario interesado tiene las condiciones necesarias para usar el módulo Usuarios y acceso</x:v>
      </x:c>
      <x:c r="F4" s="30" t="str">
        <x:v>Cuando ejecuta la funcionalidad de consulta, selección y solicitud de compra de plan</x:v>
      </x:c>
      <x:c r="G4" s="30" t="str">
        <x:v>Entonces el sistema debe completar la operación, guardar la información en planes, vw_cupos_planes, solicitudes_compra, pagos y mostrar una confirmación clara.</x:v>
      </x:c>
      <x:c r="H4" s="28"/>
      <x:c r="I4" s="28"/>
      <x:c r="J4" s="28"/>
    </x:row>
    <x:row r="5" ht="68" customHeight="1">
      <x:c r="A5" s="30" t="str">
        <x:v>HU-ACC-001</x:v>
      </x:c>
      <x:c r="B5" s="30" t="str">
        <x:v>RF-001</x:v>
      </x:c>
      <x:c r="C5" s="30" t="n">
        <x:v>2</x:v>
      </x:c>
      <x:c r="D5" s="30" t="str">
        <x:v>Validaciones de Consulta, selección y solicitud de compra de plan</x:v>
      </x:c>
      <x:c r="E5" s="30" t="str">
        <x:v>Dado que existen reglas de negocio, permisos y datos obligatorios asociados al proceso</x:v>
      </x:c>
      <x:c r="F5" s="30" t="str">
        <x:v>Cuando el actor intenta realizar consulta, selección y solicitud de compra de plan con datos incompletos, inválidos o sin autorización</x:v>
      </x:c>
      <x:c r="G5" s="30" t="str">
        <x:v>Entonces el sistema debe bloquear la operación, explicar el motivo y conservar el estado anterior sin generar inconsistencias.</x:v>
      </x:c>
      <x:c r="H5" s="28"/>
      <x:c r="I5" s="28"/>
      <x:c r="J5" s="28"/>
    </x:row>
    <x:row r="6" ht="68" customHeight="1">
      <x:c r="A6" s="30" t="str">
        <x:v>HU-ACC-001</x:v>
      </x:c>
      <x:c r="B6" s="30" t="str">
        <x:v>RF-001</x:v>
      </x:c>
      <x:c r="C6" s="30" t="n">
        <x:v>3</x:v>
      </x:c>
      <x:c r="D6" s="30" t="str">
        <x:v>Trazabilidad de Consulta, selección y solicitud de compra de plan</x:v>
      </x:c>
      <x:c r="E6" s="30" t="str">
        <x:v>Dado que la operación de consulta, selección y solicitud de compra de plan finaliza correctamente o queda rechazada por una regla</x:v>
      </x:c>
      <x:c r="F6" s="30" t="str">
        <x:v>Cuando el sistema actualiza el resultado del proceso</x:v>
      </x:c>
      <x:c r="G6" s="30" t="str">
        <x:v>Entonces debe quedar trazabilidad disponible para consulta administrativa, auditoría funcional, notificaciones o reportes relacionados.</x:v>
      </x:c>
      <x:c r="H6" s="28"/>
      <x:c r="I6" s="28"/>
      <x:c r="J6" s="28"/>
    </x:row>
    <x:row r="7" ht="68" customHeight="1">
      <x:c r="A7" s="30" t="str">
        <x:v>HU-ACC-002</x:v>
      </x:c>
      <x:c r="B7" s="30" t="str">
        <x:v>RF-002</x:v>
      </x:c>
      <x:c r="C7" s="30" t="n">
        <x:v>1</x:v>
      </x:c>
      <x:c r="D7" s="30" t="str">
        <x:v>Registro administrativo de clientes ejecutado correctamente</x:v>
      </x:c>
      <x:c r="E7" s="30" t="str">
        <x:v>Dado que el actor Administrador tiene las condiciones necesarias para usar el módulo Usuarios y acceso</x:v>
      </x:c>
      <x:c r="F7" s="30" t="str">
        <x:v>Cuando ejecuta la funcionalidad de registro administrativo de clientes</x:v>
      </x:c>
      <x:c r="G7" s="30" t="str">
        <x:v>Entonces el sistema debe completar la operación, guardar la información en user, roles, user_roles, clientes, instituciones y mostrar una confirmación clara.</x:v>
      </x:c>
      <x:c r="H7" s="28"/>
      <x:c r="I7" s="28"/>
      <x:c r="J7" s="28"/>
    </x:row>
    <x:row r="8" ht="68" customHeight="1">
      <x:c r="A8" s="30" t="str">
        <x:v>HU-ACC-002</x:v>
      </x:c>
      <x:c r="B8" s="30" t="str">
        <x:v>RF-002</x:v>
      </x:c>
      <x:c r="C8" s="30" t="n">
        <x:v>2</x:v>
      </x:c>
      <x:c r="D8" s="30" t="str">
        <x:v>Validaciones de Registro administrativo de clientes</x:v>
      </x:c>
      <x:c r="E8" s="30" t="str">
        <x:v>Dado que existen reglas de negocio, permisos y datos obligatorios asociados al proceso</x:v>
      </x:c>
      <x:c r="F8" s="30" t="str">
        <x:v>Cuando el actor intenta realizar registro administrativo de clientes con datos incompletos, inválidos o sin autorización</x:v>
      </x:c>
      <x:c r="G8" s="30" t="str">
        <x:v>Entonces el sistema debe bloquear la operación, explicar el motivo y conservar el estado anterior sin generar inconsistencias.</x:v>
      </x:c>
      <x:c r="H8" s="28"/>
      <x:c r="I8" s="28"/>
      <x:c r="J8" s="28"/>
    </x:row>
    <x:row r="9" ht="68" customHeight="1">
      <x:c r="A9" s="30" t="str">
        <x:v>HU-ACC-002</x:v>
      </x:c>
      <x:c r="B9" s="30" t="str">
        <x:v>RF-002</x:v>
      </x:c>
      <x:c r="C9" s="30" t="n">
        <x:v>3</x:v>
      </x:c>
      <x:c r="D9" s="30" t="str">
        <x:v>Trazabilidad de Registro administrativo de clientes</x:v>
      </x:c>
      <x:c r="E9" s="30" t="str">
        <x:v>Dado que la operación de registro administrativo de clientes finaliza correctamente o queda rechazada por una regla</x:v>
      </x:c>
      <x:c r="F9" s="30" t="str">
        <x:v>Cuando el sistema actualiza el resultado del proceso</x:v>
      </x:c>
      <x:c r="G9" s="30" t="str">
        <x:v>Entonces debe quedar trazabilidad disponible para consulta administrativa, auditoría funcional, notificaciones o reportes relacionados.</x:v>
      </x:c>
      <x:c r="H9" s="28"/>
      <x:c r="I9" s="28"/>
      <x:c r="J9" s="28"/>
    </x:row>
    <x:row r="10" ht="68" customHeight="1">
      <x:c r="A10" s="30" t="str">
        <x:v>HU-ACC-003</x:v>
      </x:c>
      <x:c r="B10" s="30" t="str">
        <x:v>RF-003</x:v>
      </x:c>
      <x:c r="C10" s="30" t="n">
        <x:v>1</x:v>
      </x:c>
      <x:c r="D10" s="30" t="str">
        <x:v>Registro de coaches ejecutado correctamente</x:v>
      </x:c>
      <x:c r="E10" s="30" t="str">
        <x:v>Dado que el actor Administrador tiene las condiciones necesarias para usar el módulo Usuarios y acceso</x:v>
      </x:c>
      <x:c r="F10" s="30" t="str">
        <x:v>Cuando ejecuta la funcionalidad de registro de coaches</x:v>
      </x:c>
      <x:c r="G10" s="30" t="str">
        <x:v>Entonces el sistema debe completar la operación, guardar la información en user, roles, user_roles, coaches y mostrar una confirmación clara.</x:v>
      </x:c>
      <x:c r="H10" s="28"/>
      <x:c r="I10" s="28"/>
      <x:c r="J10" s="28"/>
    </x:row>
    <x:row r="11" ht="68" customHeight="1">
      <x:c r="A11" s="30" t="str">
        <x:v>HU-ACC-003</x:v>
      </x:c>
      <x:c r="B11" s="30" t="str">
        <x:v>RF-003</x:v>
      </x:c>
      <x:c r="C11" s="30" t="n">
        <x:v>2</x:v>
      </x:c>
      <x:c r="D11" s="30" t="str">
        <x:v>Validaciones de Registro de coaches</x:v>
      </x:c>
      <x:c r="E11" s="30" t="str">
        <x:v>Dado que existen reglas de negocio, permisos y datos obligatorios asociados al proceso</x:v>
      </x:c>
      <x:c r="F11" s="30" t="str">
        <x:v>Cuando el actor intenta realizar registro de coaches con datos incompletos, inválidos o sin autorización</x:v>
      </x:c>
      <x:c r="G11" s="30" t="str">
        <x:v>Entonces el sistema debe bloquear la operación, explicar el motivo y conservar el estado anterior sin generar inconsistencias.</x:v>
      </x:c>
      <x:c r="H11" s="28"/>
      <x:c r="I11" s="28"/>
      <x:c r="J11" s="28"/>
    </x:row>
    <x:row r="12" ht="68" customHeight="1">
      <x:c r="A12" s="30" t="str">
        <x:v>HU-ACC-003</x:v>
      </x:c>
      <x:c r="B12" s="30" t="str">
        <x:v>RF-003</x:v>
      </x:c>
      <x:c r="C12" s="30" t="n">
        <x:v>3</x:v>
      </x:c>
      <x:c r="D12" s="30" t="str">
        <x:v>Trazabilidad de Registro de coaches</x:v>
      </x:c>
      <x:c r="E12" s="30" t="str">
        <x:v>Dado que la operación de registro de coaches finaliza correctamente o queda rechazada por una regla</x:v>
      </x:c>
      <x:c r="F12" s="30" t="str">
        <x:v>Cuando el sistema actualiza el resultado del proceso</x:v>
      </x:c>
      <x:c r="G12" s="30" t="str">
        <x:v>Entonces debe quedar trazabilidad disponible para consulta administrativa, auditoría funcional, notificaciones o reportes relacionados.</x:v>
      </x:c>
      <x:c r="H12" s="28"/>
      <x:c r="I12" s="28"/>
      <x:c r="J12" s="28"/>
    </x:row>
    <x:row r="13" ht="68" customHeight="1">
      <x:c r="A13" s="30" t="str">
        <x:v>HU-ACC-004</x:v>
      </x:c>
      <x:c r="B13" s="30" t="str">
        <x:v>RF-004</x:v>
      </x:c>
      <x:c r="C13" s="30" t="n">
        <x:v>1</x:v>
      </x:c>
      <x:c r="D13" s="30" t="str">
        <x:v>Inicio de sesión ejecutado correctamente</x:v>
      </x:c>
      <x:c r="E13" s="30" t="str">
        <x:v>Dado que el actor Usuario tiene las condiciones necesarias para usar el módulo Usuarios y acceso</x:v>
      </x:c>
      <x:c r="F13" s="30" t="str">
        <x:v>Cuando ejecuta la funcionalidad de inicio de sesión</x:v>
      </x:c>
      <x:c r="G13" s="30" t="str">
        <x:v>Entonces el sistema debe completar la operación, guardar la información en user, roles, user_roles y mostrar una confirmación clara.</x:v>
      </x:c>
      <x:c r="H13" s="28"/>
      <x:c r="I13" s="28"/>
      <x:c r="J13" s="28"/>
    </x:row>
    <x:row r="14" ht="68" customHeight="1">
      <x:c r="A14" s="30" t="str">
        <x:v>HU-ACC-004</x:v>
      </x:c>
      <x:c r="B14" s="30" t="str">
        <x:v>RF-004</x:v>
      </x:c>
      <x:c r="C14" s="30" t="n">
        <x:v>2</x:v>
      </x:c>
      <x:c r="D14" s="30" t="str">
        <x:v>Validaciones de Inicio de sesión</x:v>
      </x:c>
      <x:c r="E14" s="30" t="str">
        <x:v>Dado que existen reglas de negocio, permisos y datos obligatorios asociados al proceso</x:v>
      </x:c>
      <x:c r="F14" s="30" t="str">
        <x:v>Cuando el actor intenta realizar inicio de sesión con datos incompletos, inválidos o sin autorización</x:v>
      </x:c>
      <x:c r="G14" s="30" t="str">
        <x:v>Entonces el sistema debe bloquear la operación, explicar el motivo y conservar el estado anterior sin generar inconsistencias.</x:v>
      </x:c>
      <x:c r="H14" s="28"/>
      <x:c r="I14" s="28"/>
      <x:c r="J14" s="28"/>
    </x:row>
    <x:row r="15" ht="68" customHeight="1">
      <x:c r="A15" s="30" t="str">
        <x:v>HU-ACC-004</x:v>
      </x:c>
      <x:c r="B15" s="30" t="str">
        <x:v>RF-004</x:v>
      </x:c>
      <x:c r="C15" s="30" t="n">
        <x:v>3</x:v>
      </x:c>
      <x:c r="D15" s="30" t="str">
        <x:v>Trazabilidad de Inicio de sesión</x:v>
      </x:c>
      <x:c r="E15" s="30" t="str">
        <x:v>Dado que la operación de inicio de sesión finaliza correctamente o queda rechazada por una regla</x:v>
      </x:c>
      <x:c r="F15" s="30" t="str">
        <x:v>Cuando el sistema actualiza el resultado del proceso</x:v>
      </x:c>
      <x:c r="G15" s="30" t="str">
        <x:v>Entonces debe quedar trazabilidad disponible para consulta administrativa, auditoría funcional, notificaciones o reportes relacionados.</x:v>
      </x:c>
      <x:c r="H15" s="28"/>
      <x:c r="I15" s="28"/>
      <x:c r="J15" s="28"/>
    </x:row>
    <x:row r="16" ht="68" customHeight="1">
      <x:c r="A16" s="30" t="str">
        <x:v>HU-ACC-005</x:v>
      </x:c>
      <x:c r="B16" s="30" t="str">
        <x:v>RF-005</x:v>
      </x:c>
      <x:c r="C16" s="30" t="n">
        <x:v>1</x:v>
      </x:c>
      <x:c r="D16" s="30" t="str">
        <x:v>Recuperación de contraseña ejecutado correctamente</x:v>
      </x:c>
      <x:c r="E16" s="30" t="str">
        <x:v>Dado que el actor Usuario tiene las condiciones necesarias para usar el módulo Usuarios y acceso</x:v>
      </x:c>
      <x:c r="F16" s="30" t="str">
        <x:v>Cuando ejecuta la funcionalidad de recuperación de contraseña</x:v>
      </x:c>
      <x:c r="G16" s="30" t="str">
        <x:v>Entonces el sistema debe completar la operación, guardar la información en user, tokens_recuperacion y mostrar una confirmación clara.</x:v>
      </x:c>
      <x:c r="H16" s="28"/>
      <x:c r="I16" s="28"/>
      <x:c r="J16" s="28"/>
    </x:row>
    <x:row r="17" ht="68" customHeight="1">
      <x:c r="A17" s="30" t="str">
        <x:v>HU-ACC-005</x:v>
      </x:c>
      <x:c r="B17" s="30" t="str">
        <x:v>RF-005</x:v>
      </x:c>
      <x:c r="C17" s="30" t="n">
        <x:v>2</x:v>
      </x:c>
      <x:c r="D17" s="30" t="str">
        <x:v>Validaciones de Recuperación de contraseña</x:v>
      </x:c>
      <x:c r="E17" s="30" t="str">
        <x:v>Dado que existen reglas de negocio, permisos y datos obligatorios asociados al proceso</x:v>
      </x:c>
      <x:c r="F17" s="30" t="str">
        <x:v>Cuando el actor intenta realizar recuperación de contraseña con datos incompletos, inválidos o sin autorización</x:v>
      </x:c>
      <x:c r="G17" s="30" t="str">
        <x:v>Entonces el sistema debe bloquear la operación, explicar el motivo y conservar el estado anterior sin generar inconsistencias.</x:v>
      </x:c>
      <x:c r="H17" s="28"/>
      <x:c r="I17" s="28"/>
      <x:c r="J17" s="28"/>
    </x:row>
    <x:row r="18" ht="68" customHeight="1">
      <x:c r="A18" s="30" t="str">
        <x:v>HU-ACC-005</x:v>
      </x:c>
      <x:c r="B18" s="30" t="str">
        <x:v>RF-005</x:v>
      </x:c>
      <x:c r="C18" s="30" t="n">
        <x:v>3</x:v>
      </x:c>
      <x:c r="D18" s="30" t="str">
        <x:v>Trazabilidad de Recuperación de contraseña</x:v>
      </x:c>
      <x:c r="E18" s="30" t="str">
        <x:v>Dado que la operación de recuperación de contraseña finaliza correctamente o queda rechazada por una regla</x:v>
      </x:c>
      <x:c r="F18" s="30" t="str">
        <x:v>Cuando el sistema actualiza el resultado del proceso</x:v>
      </x:c>
      <x:c r="G18" s="30" t="str">
        <x:v>Entonces debe quedar trazabilidad disponible para consulta administrativa, auditoría funcional, notificaciones o reportes relacionados.</x:v>
      </x:c>
      <x:c r="H18" s="28"/>
      <x:c r="I18" s="28"/>
      <x:c r="J18" s="28"/>
    </x:row>
    <x:row r="19" ht="68" customHeight="1">
      <x:c r="A19" s="30" t="str">
        <x:v>HU-ACC-006</x:v>
      </x:c>
      <x:c r="B19" s="30" t="str">
        <x:v>RF-006</x:v>
      </x:c>
      <x:c r="C19" s="30" t="n">
        <x:v>1</x:v>
      </x:c>
      <x:c r="D19" s="30" t="str">
        <x:v>Gestión de usuarios ejecutado correctamente</x:v>
      </x:c>
      <x:c r="E19" s="30" t="str">
        <x:v>Dado que el actor Administrador tiene las condiciones necesarias para usar el módulo Usuarios y acceso</x:v>
      </x:c>
      <x:c r="F19" s="30" t="str">
        <x:v>Cuando ejecuta la funcionalidad de gestión de usuarios</x:v>
      </x:c>
      <x:c r="G19" s="30" t="str">
        <x:v>Entonces el sistema debe completar la operación, guardar la información en user, roles, user_roles, clientes, coaches y mostrar una confirmación clara.</x:v>
      </x:c>
      <x:c r="H19" s="28"/>
      <x:c r="I19" s="28"/>
      <x:c r="J19" s="28"/>
    </x:row>
    <x:row r="20" ht="68" customHeight="1">
      <x:c r="A20" s="30" t="str">
        <x:v>HU-ACC-006</x:v>
      </x:c>
      <x:c r="B20" s="30" t="str">
        <x:v>RF-006</x:v>
      </x:c>
      <x:c r="C20" s="30" t="n">
        <x:v>2</x:v>
      </x:c>
      <x:c r="D20" s="30" t="str">
        <x:v>Validaciones de Gestión de usuarios</x:v>
      </x:c>
      <x:c r="E20" s="30" t="str">
        <x:v>Dado que existen reglas de negocio, permisos y datos obligatorios asociados al proceso</x:v>
      </x:c>
      <x:c r="F20" s="30" t="str">
        <x:v>Cuando el actor intenta realizar gestión de usuarios con datos incompletos, inválidos o sin autorización</x:v>
      </x:c>
      <x:c r="G20" s="30" t="str">
        <x:v>Entonces el sistema debe bloquear la operación, explicar el motivo y conservar el estado anterior sin generar inconsistencias.</x:v>
      </x:c>
      <x:c r="H20" s="28"/>
      <x:c r="I20" s="28"/>
      <x:c r="J20" s="28"/>
    </x:row>
    <x:row r="21" ht="68" customHeight="1">
      <x:c r="A21" s="30" t="str">
        <x:v>HU-ACC-006</x:v>
      </x:c>
      <x:c r="B21" s="30" t="str">
        <x:v>RF-006</x:v>
      </x:c>
      <x:c r="C21" s="30" t="n">
        <x:v>3</x:v>
      </x:c>
      <x:c r="D21" s="30" t="str">
        <x:v>Trazabilidad de Gestión de usuarios</x:v>
      </x:c>
      <x:c r="E21" s="30" t="str">
        <x:v>Dado que la operación de gestión de usuarios finaliza correctamente o queda rechazada por una regla</x:v>
      </x:c>
      <x:c r="F21" s="30" t="str">
        <x:v>Cuando el sistema actualiza el resultado del proceso</x:v>
      </x:c>
      <x:c r="G21" s="30" t="str">
        <x:v>Entonces debe quedar trazabilidad disponible para consulta administrativa, auditoría funcional, notificaciones o reportes relacionados.</x:v>
      </x:c>
      <x:c r="H21" s="28"/>
      <x:c r="I21" s="28"/>
      <x:c r="J21" s="28"/>
    </x:row>
    <x:row r="22" ht="68" customHeight="1">
      <x:c r="A22" s="30" t="str">
        <x:v>HU-PER-007</x:v>
      </x:c>
      <x:c r="B22" s="30" t="str">
        <x:v>RF-007</x:v>
      </x:c>
      <x:c r="C22" s="30" t="n">
        <x:v>1</x:v>
      </x:c>
      <x:c r="D22" s="30" t="str">
        <x:v>Actualización de datos personales ejecutado correctamente</x:v>
      </x:c>
      <x:c r="E22" s="30" t="str">
        <x:v>Dado que el actor Cliente tiene las condiciones necesarias para usar el módulo Perfil y clientes</x:v>
      </x:c>
      <x:c r="F22" s="30" t="str">
        <x:v>Cuando ejecuta la funcionalidad de actualización de datos personales</x:v>
      </x:c>
      <x:c r="G22" s="30" t="str">
        <x:v>Entonces el sistema debe completar la operación, guardar la información en user, clientes y mostrar una confirmación clara.</x:v>
      </x:c>
      <x:c r="H22" s="28"/>
      <x:c r="I22" s="28"/>
      <x:c r="J22" s="28"/>
    </x:row>
    <x:row r="23" ht="68" customHeight="1">
      <x:c r="A23" s="30" t="str">
        <x:v>HU-PER-007</x:v>
      </x:c>
      <x:c r="B23" s="30" t="str">
        <x:v>RF-007</x:v>
      </x:c>
      <x:c r="C23" s="30" t="n">
        <x:v>2</x:v>
      </x:c>
      <x:c r="D23" s="30" t="str">
        <x:v>Validaciones de Actualización de datos personales</x:v>
      </x:c>
      <x:c r="E23" s="30" t="str">
        <x:v>Dado que existen reglas de negocio, permisos y datos obligatorios asociados al proceso</x:v>
      </x:c>
      <x:c r="F23" s="30" t="str">
        <x:v>Cuando el actor intenta realizar actualización de datos personales con datos incompletos, inválidos o sin autorización</x:v>
      </x:c>
      <x:c r="G23" s="30" t="str">
        <x:v>Entonces el sistema debe bloquear la operación, explicar el motivo y conservar el estado anterior sin generar inconsistencias.</x:v>
      </x:c>
      <x:c r="H23" s="28"/>
      <x:c r="I23" s="28"/>
      <x:c r="J23" s="28"/>
    </x:row>
    <x:row r="24" ht="68" customHeight="1">
      <x:c r="A24" s="30" t="str">
        <x:v>HU-PER-007</x:v>
      </x:c>
      <x:c r="B24" s="30" t="str">
        <x:v>RF-007</x:v>
      </x:c>
      <x:c r="C24" s="30" t="n">
        <x:v>3</x:v>
      </x:c>
      <x:c r="D24" s="30" t="str">
        <x:v>Trazabilidad de Actualización de datos personales</x:v>
      </x:c>
      <x:c r="E24" s="30" t="str">
        <x:v>Dado que la operación de actualización de datos personales finaliza correctamente o queda rechazada por una regla</x:v>
      </x:c>
      <x:c r="F24" s="30" t="str">
        <x:v>Cuando el sistema actualiza el resultado del proceso</x:v>
      </x:c>
      <x:c r="G24" s="30" t="str">
        <x:v>Entonces debe quedar trazabilidad disponible para consulta administrativa, auditoría funcional, notificaciones o reportes relacionados.</x:v>
      </x:c>
      <x:c r="H24" s="28"/>
      <x:c r="I24" s="28"/>
      <x:c r="J24" s="28"/>
    </x:row>
    <x:row r="25" ht="68" customHeight="1">
      <x:c r="A25" s="30" t="str">
        <x:v>HU-PER-008</x:v>
      </x:c>
      <x:c r="B25" s="30" t="str">
        <x:v>RF-008</x:v>
      </x:c>
      <x:c r="C25" s="30" t="n">
        <x:v>1</x:v>
      </x:c>
      <x:c r="D25" s="30" t="str">
        <x:v>Actualización de datos físicos ejecutado correctamente</x:v>
      </x:c>
      <x:c r="E25" s="30" t="str">
        <x:v>Dado que el actor Cliente tiene las condiciones necesarias para usar el módulo Perfil y clientes</x:v>
      </x:c>
      <x:c r="F25" s="30" t="str">
        <x:v>Cuando ejecuta la funcionalidad de actualización de datos físicos</x:v>
      </x:c>
      <x:c r="G25" s="30" t="str">
        <x:v>Entonces el sistema debe completar la operación, guardar la información en clientes, registros_progreso y mostrar una confirmación clara.</x:v>
      </x:c>
      <x:c r="H25" s="28"/>
      <x:c r="I25" s="28"/>
      <x:c r="J25" s="28"/>
    </x:row>
    <x:row r="26" ht="68" customHeight="1">
      <x:c r="A26" s="30" t="str">
        <x:v>HU-PER-008</x:v>
      </x:c>
      <x:c r="B26" s="30" t="str">
        <x:v>RF-008</x:v>
      </x:c>
      <x:c r="C26" s="30" t="n">
        <x:v>2</x:v>
      </x:c>
      <x:c r="D26" s="30" t="str">
        <x:v>Validaciones de Actualización de datos físicos</x:v>
      </x:c>
      <x:c r="E26" s="30" t="str">
        <x:v>Dado que existen reglas de negocio, permisos y datos obligatorios asociados al proceso</x:v>
      </x:c>
      <x:c r="F26" s="30" t="str">
        <x:v>Cuando el actor intenta realizar actualización de datos físicos con datos incompletos, inválidos o sin autorización</x:v>
      </x:c>
      <x:c r="G26" s="30" t="str">
        <x:v>Entonces el sistema debe bloquear la operación, explicar el motivo y conservar el estado anterior sin generar inconsistencias.</x:v>
      </x:c>
      <x:c r="H26" s="28"/>
      <x:c r="I26" s="28"/>
      <x:c r="J26" s="28"/>
    </x:row>
    <x:row r="27" ht="68" customHeight="1">
      <x:c r="A27" s="30" t="str">
        <x:v>HU-PER-008</x:v>
      </x:c>
      <x:c r="B27" s="30" t="str">
        <x:v>RF-008</x:v>
      </x:c>
      <x:c r="C27" s="30" t="n">
        <x:v>3</x:v>
      </x:c>
      <x:c r="D27" s="30" t="str">
        <x:v>Trazabilidad de Actualización de datos físicos</x:v>
      </x:c>
      <x:c r="E27" s="30" t="str">
        <x:v>Dado que la operación de actualización de datos físicos finaliza correctamente o queda rechazada por una regla</x:v>
      </x:c>
      <x:c r="F27" s="30" t="str">
        <x:v>Cuando el sistema actualiza el resultado del proceso</x:v>
      </x:c>
      <x:c r="G27" s="30" t="str">
        <x:v>Entonces debe quedar trazabilidad disponible para consulta administrativa, auditoría funcional, notificaciones o reportes relacionados.</x:v>
      </x:c>
      <x:c r="H27" s="28"/>
      <x:c r="I27" s="28"/>
      <x:c r="J27" s="28"/>
    </x:row>
    <x:row r="28" ht="68" customHeight="1">
      <x:c r="A28" s="30" t="str">
        <x:v>HU-PER-009</x:v>
      </x:c>
      <x:c r="B28" s="30" t="str">
        <x:v>RF-009</x:v>
      </x:c>
      <x:c r="C28" s="30" t="n">
        <x:v>1</x:v>
      </x:c>
      <x:c r="D28" s="30" t="str">
        <x:v>Asignación de coach ejecutado correctamente</x:v>
      </x:c>
      <x:c r="E28" s="30" t="str">
        <x:v>Dado que el actor Administrador tiene las condiciones necesarias para usar el módulo Perfil y clientes</x:v>
      </x:c>
      <x:c r="F28" s="30" t="str">
        <x:v>Cuando ejecuta la funcionalidad de asignación de coach</x:v>
      </x:c>
      <x:c r="G28" s="30" t="str">
        <x:v>Entonces el sistema debe completar la operación, guardar la información en clientes, coaches, planes_cliente y mostrar una confirmación clara.</x:v>
      </x:c>
      <x:c r="H28" s="28"/>
      <x:c r="I28" s="28"/>
      <x:c r="J28" s="28"/>
    </x:row>
    <x:row r="29" ht="68" customHeight="1">
      <x:c r="A29" s="30" t="str">
        <x:v>HU-PER-009</x:v>
      </x:c>
      <x:c r="B29" s="30" t="str">
        <x:v>RF-009</x:v>
      </x:c>
      <x:c r="C29" s="30" t="n">
        <x:v>2</x:v>
      </x:c>
      <x:c r="D29" s="30" t="str">
        <x:v>Validaciones de Asignación de coach</x:v>
      </x:c>
      <x:c r="E29" s="30" t="str">
        <x:v>Dado que existen reglas de negocio, permisos y datos obligatorios asociados al proceso</x:v>
      </x:c>
      <x:c r="F29" s="30" t="str">
        <x:v>Cuando el actor intenta realizar asignación de coach con datos incompletos, inválidos o sin autorización</x:v>
      </x:c>
      <x:c r="G29" s="30" t="str">
        <x:v>Entonces el sistema debe bloquear la operación, explicar el motivo y conservar el estado anterior sin generar inconsistencias.</x:v>
      </x:c>
      <x:c r="H29" s="28"/>
      <x:c r="I29" s="28"/>
      <x:c r="J29" s="28"/>
    </x:row>
    <x:row r="30" ht="68" customHeight="1">
      <x:c r="A30" s="30" t="str">
        <x:v>HU-PER-009</x:v>
      </x:c>
      <x:c r="B30" s="30" t="str">
        <x:v>RF-009</x:v>
      </x:c>
      <x:c r="C30" s="30" t="n">
        <x:v>3</x:v>
      </x:c>
      <x:c r="D30" s="30" t="str">
        <x:v>Trazabilidad de Asignación de coach</x:v>
      </x:c>
      <x:c r="E30" s="30" t="str">
        <x:v>Dado que la operación de asignación de coach finaliza correctamente o queda rechazada por una regla</x:v>
      </x:c>
      <x:c r="F30" s="30" t="str">
        <x:v>Cuando el sistema actualiza el resultado del proceso</x:v>
      </x:c>
      <x:c r="G30" s="30" t="str">
        <x:v>Entonces debe quedar trazabilidad disponible para consulta administrativa, auditoría funcional, notificaciones o reportes relacionados.</x:v>
      </x:c>
      <x:c r="H30" s="28"/>
      <x:c r="I30" s="28"/>
      <x:c r="J30" s="28"/>
    </x:row>
    <x:row r="31" ht="68" customHeight="1">
      <x:c r="A31" s="30" t="str">
        <x:v>HU-ENT-010</x:v>
      </x:c>
      <x:c r="B31" s="30" t="str">
        <x:v>RF-010</x:v>
      </x:c>
      <x:c r="C31" s="30" t="n">
        <x:v>1</x:v>
      </x:c>
      <x:c r="D31" s="30" t="str">
        <x:v>Creación de plan de entrenamiento ejecutado correctamente</x:v>
      </x:c>
      <x:c r="E31" s="30" t="str">
        <x:v>Dado que el actor Coach tiene las condiciones necesarias para usar el módulo Entrenamiento y contenido virtual</x:v>
      </x:c>
      <x:c r="F31" s="30" t="str">
        <x:v>Cuando ejecuta la funcionalidad de creación de plan de entrenamiento</x:v>
      </x:c>
      <x:c r="G31" s="30" t="str">
        <x:v>Entonces el sistema debe completar la operación, guardar la información en planes_entrenamiento, clientes, coaches, acceso_cliente_modulo y mostrar una confirmación clara.</x:v>
      </x:c>
      <x:c r="H31" s="28"/>
      <x:c r="I31" s="28"/>
      <x:c r="J31" s="28"/>
    </x:row>
    <x:row r="32" ht="68" customHeight="1">
      <x:c r="A32" s="30" t="str">
        <x:v>HU-ENT-010</x:v>
      </x:c>
      <x:c r="B32" s="30" t="str">
        <x:v>RF-010</x:v>
      </x:c>
      <x:c r="C32" s="30" t="n">
        <x:v>2</x:v>
      </x:c>
      <x:c r="D32" s="30" t="str">
        <x:v>Validaciones de Creación de plan de entrenamiento</x:v>
      </x:c>
      <x:c r="E32" s="30" t="str">
        <x:v>Dado que existen reglas de negocio, permisos y datos obligatorios asociados al proceso</x:v>
      </x:c>
      <x:c r="F32" s="30" t="str">
        <x:v>Cuando el actor intenta realizar creación de plan de entrenamiento con datos incompletos, inválidos o sin autorización</x:v>
      </x:c>
      <x:c r="G32" s="30" t="str">
        <x:v>Entonces el sistema debe bloquear la operación, explicar el motivo y conservar el estado anterior sin generar inconsistencias.</x:v>
      </x:c>
      <x:c r="H32" s="28"/>
      <x:c r="I32" s="28"/>
      <x:c r="J32" s="28"/>
    </x:row>
    <x:row r="33" ht="68" customHeight="1">
      <x:c r="A33" s="30" t="str">
        <x:v>HU-ENT-010</x:v>
      </x:c>
      <x:c r="B33" s="30" t="str">
        <x:v>RF-010</x:v>
      </x:c>
      <x:c r="C33" s="30" t="n">
        <x:v>3</x:v>
      </x:c>
      <x:c r="D33" s="30" t="str">
        <x:v>Trazabilidad de Creación de plan de entrenamiento</x:v>
      </x:c>
      <x:c r="E33" s="30" t="str">
        <x:v>Dado que la operación de creación de plan de entrenamiento finaliza correctamente o queda rechazada por una regla</x:v>
      </x:c>
      <x:c r="F33" s="30" t="str">
        <x:v>Cuando el sistema actualiza el resultado del proceso</x:v>
      </x:c>
      <x:c r="G33" s="30" t="str">
        <x:v>Entonces debe quedar trazabilidad disponible para consulta administrativa, auditoría funcional, notificaciones o reportes relacionados.</x:v>
      </x:c>
      <x:c r="H33" s="28"/>
      <x:c r="I33" s="28"/>
      <x:c r="J33" s="28"/>
    </x:row>
    <x:row r="34" ht="68" customHeight="1">
      <x:c r="A34" s="30" t="str">
        <x:v>HU-ENT-011</x:v>
      </x:c>
      <x:c r="B34" s="30" t="str">
        <x:v>RF-011</x:v>
      </x:c>
      <x:c r="C34" s="30" t="n">
        <x:v>1</x:v>
      </x:c>
      <x:c r="D34" s="30" t="str">
        <x:v>Asignación de rutinas ejecutado correctamente</x:v>
      </x:c>
      <x:c r="E34" s="30" t="str">
        <x:v>Dado que el actor Coach tiene las condiciones necesarias para usar el módulo Entrenamiento y contenido virtual</x:v>
      </x:c>
      <x:c r="F34" s="30" t="str">
        <x:v>Cuando ejecuta la funcionalidad de asignación de rutinas</x:v>
      </x:c>
      <x:c r="G34" s="30" t="str">
        <x:v>Entonces el sistema debe completar la operación, guardar la información en rutinas, rutina_ejercicios, ejercicios, planes_entrenamiento y mostrar una confirmación clara.</x:v>
      </x:c>
      <x:c r="H34" s="28"/>
      <x:c r="I34" s="28"/>
      <x:c r="J34" s="28"/>
    </x:row>
    <x:row r="35" ht="68" customHeight="1">
      <x:c r="A35" s="30" t="str">
        <x:v>HU-ENT-011</x:v>
      </x:c>
      <x:c r="B35" s="30" t="str">
        <x:v>RF-011</x:v>
      </x:c>
      <x:c r="C35" s="30" t="n">
        <x:v>2</x:v>
      </x:c>
      <x:c r="D35" s="30" t="str">
        <x:v>Validaciones de Asignación de rutinas</x:v>
      </x:c>
      <x:c r="E35" s="30" t="str">
        <x:v>Dado que existen reglas de negocio, permisos y datos obligatorios asociados al proceso</x:v>
      </x:c>
      <x:c r="F35" s="30" t="str">
        <x:v>Cuando el actor intenta realizar asignación de rutinas con datos incompletos, inválidos o sin autorización</x:v>
      </x:c>
      <x:c r="G35" s="30" t="str">
        <x:v>Entonces el sistema debe bloquear la operación, explicar el motivo y conservar el estado anterior sin generar inconsistencias.</x:v>
      </x:c>
      <x:c r="H35" s="28"/>
      <x:c r="I35" s="28"/>
      <x:c r="J35" s="28"/>
    </x:row>
    <x:row r="36" ht="68" customHeight="1">
      <x:c r="A36" s="30" t="str">
        <x:v>HU-ENT-011</x:v>
      </x:c>
      <x:c r="B36" s="30" t="str">
        <x:v>RF-011</x:v>
      </x:c>
      <x:c r="C36" s="30" t="n">
        <x:v>3</x:v>
      </x:c>
      <x:c r="D36" s="30" t="str">
        <x:v>Trazabilidad de Asignación de rutinas</x:v>
      </x:c>
      <x:c r="E36" s="30" t="str">
        <x:v>Dado que la operación de asignación de rutinas finaliza correctamente o queda rechazada por una regla</x:v>
      </x:c>
      <x:c r="F36" s="30" t="str">
        <x:v>Cuando el sistema actualiza el resultado del proceso</x:v>
      </x:c>
      <x:c r="G36" s="30" t="str">
        <x:v>Entonces debe quedar trazabilidad disponible para consulta administrativa, auditoría funcional, notificaciones o reportes relacionados.</x:v>
      </x:c>
      <x:c r="H36" s="28"/>
      <x:c r="I36" s="28"/>
      <x:c r="J36" s="28"/>
    </x:row>
    <x:row r="37" ht="68" customHeight="1">
      <x:c r="A37" s="30" t="str">
        <x:v>HU-ENT-012</x:v>
      </x:c>
      <x:c r="B37" s="30" t="str">
        <x:v>RF-012</x:v>
      </x:c>
      <x:c r="C37" s="30" t="n">
        <x:v>1</x:v>
      </x:c>
      <x:c r="D37" s="30" t="str">
        <x:v>Carga de material de entrenamiento y videos ejecutado correctamente</x:v>
      </x:c>
      <x:c r="E37" s="30" t="str">
        <x:v>Dado que el actor Coach / Administrador tiene las condiciones necesarias para usar el módulo Entrenamiento y contenido virtual</x:v>
      </x:c>
      <x:c r="F37" s="30" t="str">
        <x:v>Cuando ejecuta la funcionalidad de carga de material de entrenamiento y videos</x:v>
      </x:c>
      <x:c r="G37" s="30" t="str">
        <x:v>Entonces el sistema debe completar la operación, guardar la información en material_entrenamiento, ejercicios, programas_virtuales, categorias_video, videos y mostrar una confirmación clara.</x:v>
      </x:c>
      <x:c r="H37" s="28"/>
      <x:c r="I37" s="28"/>
      <x:c r="J37" s="28"/>
    </x:row>
    <x:row r="38" ht="68" customHeight="1">
      <x:c r="A38" s="30" t="str">
        <x:v>HU-ENT-012</x:v>
      </x:c>
      <x:c r="B38" s="30" t="str">
        <x:v>RF-012</x:v>
      </x:c>
      <x:c r="C38" s="30" t="n">
        <x:v>2</x:v>
      </x:c>
      <x:c r="D38" s="30" t="str">
        <x:v>Validaciones de Carga de material de entrenamiento y videos</x:v>
      </x:c>
      <x:c r="E38" s="30" t="str">
        <x:v>Dado que existen reglas de negocio, permisos y datos obligatorios asociados al proceso</x:v>
      </x:c>
      <x:c r="F38" s="30" t="str">
        <x:v>Cuando el actor intenta realizar carga de material de entrenamiento y videos con datos incompletos, inválidos o sin autorización</x:v>
      </x:c>
      <x:c r="G38" s="30" t="str">
        <x:v>Entonces el sistema debe bloquear la operación, explicar el motivo y conservar el estado anterior sin generar inconsistencias.</x:v>
      </x:c>
      <x:c r="H38" s="28"/>
      <x:c r="I38" s="28"/>
      <x:c r="J38" s="28"/>
    </x:row>
    <x:row r="39" ht="68" customHeight="1">
      <x:c r="A39" s="30" t="str">
        <x:v>HU-ENT-012</x:v>
      </x:c>
      <x:c r="B39" s="30" t="str">
        <x:v>RF-012</x:v>
      </x:c>
      <x:c r="C39" s="30" t="n">
        <x:v>3</x:v>
      </x:c>
      <x:c r="D39" s="30" t="str">
        <x:v>Trazabilidad de Carga de material de entrenamiento y videos</x:v>
      </x:c>
      <x:c r="E39" s="30" t="str">
        <x:v>Dado que la operación de carga de material de entrenamiento y videos finaliza correctamente o queda rechazada por una regla</x:v>
      </x:c>
      <x:c r="F39" s="30" t="str">
        <x:v>Cuando el sistema actualiza el resultado del proceso</x:v>
      </x:c>
      <x:c r="G39" s="30" t="str">
        <x:v>Entonces debe quedar trazabilidad disponible para consulta administrativa, auditoría funcional, notificaciones o reportes relacionados.</x:v>
      </x:c>
      <x:c r="H39" s="28"/>
      <x:c r="I39" s="28"/>
      <x:c r="J39" s="28"/>
    </x:row>
    <x:row r="40" ht="68" customHeight="1">
      <x:c r="A40" s="30" t="str">
        <x:v>HU-ENT-013</x:v>
      </x:c>
      <x:c r="B40" s="30" t="str">
        <x:v>RF-013</x:v>
      </x:c>
      <x:c r="C40" s="30" t="n">
        <x:v>1</x:v>
      </x:c>
      <x:c r="D40" s="30" t="str">
        <x:v>Visualización de rutinas y programa virtual ejecutado correctamente</x:v>
      </x:c>
      <x:c r="E40" s="30" t="str">
        <x:v>Dado que el actor Cliente tiene las condiciones necesarias para usar el módulo Entrenamiento y contenido virtual</x:v>
      </x:c>
      <x:c r="F40" s="30" t="str">
        <x:v>Cuando ejecuta la funcionalidad de visualización de rutinas y programa virtual</x:v>
      </x:c>
      <x:c r="G40" s="30" t="str">
        <x:v>Entonces el sistema debe completar la operación, guardar la información en rutinas, ejercicios, material_entrenamiento, programas_virtuales, videos, acceso_cliente_modulo y mostrar una confirmación clara.</x:v>
      </x:c>
      <x:c r="H40" s="28"/>
      <x:c r="I40" s="28"/>
      <x:c r="J40" s="28"/>
    </x:row>
    <x:row r="41" ht="68" customHeight="1">
      <x:c r="A41" s="30" t="str">
        <x:v>HU-ENT-013</x:v>
      </x:c>
      <x:c r="B41" s="30" t="str">
        <x:v>RF-013</x:v>
      </x:c>
      <x:c r="C41" s="30" t="n">
        <x:v>2</x:v>
      </x:c>
      <x:c r="D41" s="30" t="str">
        <x:v>Validaciones de Visualización de rutinas y programa virtual</x:v>
      </x:c>
      <x:c r="E41" s="30" t="str">
        <x:v>Dado que existen reglas de negocio, permisos y datos obligatorios asociados al proceso</x:v>
      </x:c>
      <x:c r="F41" s="30" t="str">
        <x:v>Cuando el actor intenta realizar visualización de rutinas y programa virtual con datos incompletos, inválidos o sin autorización</x:v>
      </x:c>
      <x:c r="G41" s="30" t="str">
        <x:v>Entonces el sistema debe bloquear la operación, explicar el motivo y conservar el estado anterior sin generar inconsistencias.</x:v>
      </x:c>
      <x:c r="H41" s="28"/>
      <x:c r="I41" s="28"/>
      <x:c r="J41" s="28"/>
    </x:row>
    <x:row r="42" ht="68" customHeight="1">
      <x:c r="A42" s="30" t="str">
        <x:v>HU-ENT-013</x:v>
      </x:c>
      <x:c r="B42" s="30" t="str">
        <x:v>RF-013</x:v>
      </x:c>
      <x:c r="C42" s="30" t="n">
        <x:v>3</x:v>
      </x:c>
      <x:c r="D42" s="30" t="str">
        <x:v>Trazabilidad de Visualización de rutinas y programa virtual</x:v>
      </x:c>
      <x:c r="E42" s="30" t="str">
        <x:v>Dado que la operación de visualización de rutinas y programa virtual finaliza correctamente o queda rechazada por una regla</x:v>
      </x:c>
      <x:c r="F42" s="30" t="str">
        <x:v>Cuando el sistema actualiza el resultado del proceso</x:v>
      </x:c>
      <x:c r="G42" s="30" t="str">
        <x:v>Entonces debe quedar trazabilidad disponible para consulta administrativa, auditoría funcional, notificaciones o reportes relacionados.</x:v>
      </x:c>
      <x:c r="H42" s="28"/>
      <x:c r="I42" s="28"/>
      <x:c r="J42" s="28"/>
    </x:row>
    <x:row r="43" ht="68" customHeight="1">
      <x:c r="A43" s="30" t="str">
        <x:v>HU-ENT-014</x:v>
      </x:c>
      <x:c r="B43" s="30" t="str">
        <x:v>RF-014</x:v>
      </x:c>
      <x:c r="C43" s="30" t="n">
        <x:v>1</x:v>
      </x:c>
      <x:c r="D43" s="30" t="str">
        <x:v>Registro de rutinas completadas y avance en videos ejecutado correctamente</x:v>
      </x:c>
      <x:c r="E43" s="30" t="str">
        <x:v>Dado que el actor Cliente tiene las condiciones necesarias para usar el módulo Entrenamiento y contenido virtual</x:v>
      </x:c>
      <x:c r="F43" s="30" t="str">
        <x:v>Cuando ejecuta la funcionalidad de registro de rutinas completadas y avance en videos</x:v>
      </x:c>
      <x:c r="G43" s="30" t="str">
        <x:v>Entonces el sistema debe completar la operación, guardar la información en registro_rutinas, progreso_videos, rutinas, videos y mostrar una confirmación clara.</x:v>
      </x:c>
      <x:c r="H43" s="28"/>
      <x:c r="I43" s="28"/>
      <x:c r="J43" s="28"/>
    </x:row>
    <x:row r="44" ht="68" customHeight="1">
      <x:c r="A44" s="30" t="str">
        <x:v>HU-ENT-014</x:v>
      </x:c>
      <x:c r="B44" s="30" t="str">
        <x:v>RF-014</x:v>
      </x:c>
      <x:c r="C44" s="30" t="n">
        <x:v>2</x:v>
      </x:c>
      <x:c r="D44" s="30" t="str">
        <x:v>Validaciones de Registro de rutinas completadas y avance en videos</x:v>
      </x:c>
      <x:c r="E44" s="30" t="str">
        <x:v>Dado que existen reglas de negocio, permisos y datos obligatorios asociados al proceso</x:v>
      </x:c>
      <x:c r="F44" s="30" t="str">
        <x:v>Cuando el actor intenta realizar registro de rutinas completadas y avance en videos con datos incompletos, inválidos o sin autorización</x:v>
      </x:c>
      <x:c r="G44" s="30" t="str">
        <x:v>Entonces el sistema debe bloquear la operación, explicar el motivo y conservar el estado anterior sin generar inconsistencias.</x:v>
      </x:c>
      <x:c r="H44" s="28"/>
      <x:c r="I44" s="28"/>
      <x:c r="J44" s="28"/>
    </x:row>
    <x:row r="45" ht="68" customHeight="1">
      <x:c r="A45" s="30" t="str">
        <x:v>HU-ENT-014</x:v>
      </x:c>
      <x:c r="B45" s="30" t="str">
        <x:v>RF-014</x:v>
      </x:c>
      <x:c r="C45" s="30" t="n">
        <x:v>3</x:v>
      </x:c>
      <x:c r="D45" s="30" t="str">
        <x:v>Trazabilidad de Registro de rutinas completadas y avance en videos</x:v>
      </x:c>
      <x:c r="E45" s="30" t="str">
        <x:v>Dado que la operación de registro de rutinas completadas y avance en videos finaliza correctamente o queda rechazada por una regla</x:v>
      </x:c>
      <x:c r="F45" s="30" t="str">
        <x:v>Cuando el sistema actualiza el resultado del proceso</x:v>
      </x:c>
      <x:c r="G45" s="30" t="str">
        <x:v>Entonces debe quedar trazabilidad disponible para consulta administrativa, auditoría funcional, notificaciones o reportes relacionados.</x:v>
      </x:c>
      <x:c r="H45" s="28"/>
      <x:c r="I45" s="28"/>
      <x:c r="J45" s="28"/>
    </x:row>
    <x:row r="46" ht="68" customHeight="1">
      <x:c r="A46" s="30" t="str">
        <x:v>HU-ENT-015</x:v>
      </x:c>
      <x:c r="B46" s="30" t="str">
        <x:v>RF-015</x:v>
      </x:c>
      <x:c r="C46" s="30" t="n">
        <x:v>1</x:v>
      </x:c>
      <x:c r="D46" s="30" t="str">
        <x:v>Modificación de rutinas ejecutado correctamente</x:v>
      </x:c>
      <x:c r="E46" s="30" t="str">
        <x:v>Dado que el actor Coach tiene las condiciones necesarias para usar el módulo Entrenamiento y contenido virtual</x:v>
      </x:c>
      <x:c r="F46" s="30" t="str">
        <x:v>Cuando ejecuta la funcionalidad de modificación de rutinas</x:v>
      </x:c>
      <x:c r="G46" s="30" t="str">
        <x:v>Entonces el sistema debe completar la operación, guardar la información en rutinas, rutina_ejercicios, planes_entrenamiento y mostrar una confirmación clara.</x:v>
      </x:c>
      <x:c r="H46" s="28"/>
      <x:c r="I46" s="28"/>
      <x:c r="J46" s="28"/>
    </x:row>
    <x:row r="47" ht="68" customHeight="1">
      <x:c r="A47" s="30" t="str">
        <x:v>HU-ENT-015</x:v>
      </x:c>
      <x:c r="B47" s="30" t="str">
        <x:v>RF-015</x:v>
      </x:c>
      <x:c r="C47" s="30" t="n">
        <x:v>2</x:v>
      </x:c>
      <x:c r="D47" s="30" t="str">
        <x:v>Validaciones de Modificación de rutinas</x:v>
      </x:c>
      <x:c r="E47" s="30" t="str">
        <x:v>Dado que existen reglas de negocio, permisos y datos obligatorios asociados al proceso</x:v>
      </x:c>
      <x:c r="F47" s="30" t="str">
        <x:v>Cuando el actor intenta realizar modificación de rutinas con datos incompletos, inválidos o sin autorización</x:v>
      </x:c>
      <x:c r="G47" s="30" t="str">
        <x:v>Entonces el sistema debe bloquear la operación, explicar el motivo y conservar el estado anterior sin generar inconsistencias.</x:v>
      </x:c>
      <x:c r="H47" s="28"/>
      <x:c r="I47" s="28"/>
      <x:c r="J47" s="28"/>
    </x:row>
    <x:row r="48" ht="68" customHeight="1">
      <x:c r="A48" s="30" t="str">
        <x:v>HU-ENT-015</x:v>
      </x:c>
      <x:c r="B48" s="30" t="str">
        <x:v>RF-015</x:v>
      </x:c>
      <x:c r="C48" s="30" t="n">
        <x:v>3</x:v>
      </x:c>
      <x:c r="D48" s="30" t="str">
        <x:v>Trazabilidad de Modificación de rutinas</x:v>
      </x:c>
      <x:c r="E48" s="30" t="str">
        <x:v>Dado que la operación de modificación de rutinas finaliza correctamente o queda rechazada por una regla</x:v>
      </x:c>
      <x:c r="F48" s="30" t="str">
        <x:v>Cuando el sistema actualiza el resultado del proceso</x:v>
      </x:c>
      <x:c r="G48" s="30" t="str">
        <x:v>Entonces debe quedar trazabilidad disponible para consulta administrativa, auditoría funcional, notificaciones o reportes relacionados.</x:v>
      </x:c>
      <x:c r="H48" s="28"/>
      <x:c r="I48" s="28"/>
      <x:c r="J48" s="28"/>
    </x:row>
    <x:row r="49" ht="68" customHeight="1">
      <x:c r="A49" s="30" t="str">
        <x:v>HU-ENT-016</x:v>
      </x:c>
      <x:c r="B49" s="30" t="str">
        <x:v>RF-016</x:v>
      </x:c>
      <x:c r="C49" s="30" t="n">
        <x:v>1</x:v>
      </x:c>
      <x:c r="D49" s="30" t="str">
        <x:v>Programación de entrenamientos ejecutado correctamente</x:v>
      </x:c>
      <x:c r="E49" s="30" t="str">
        <x:v>Dado que el actor Coach tiene las condiciones necesarias para usar el módulo Entrenamiento y contenido virtual</x:v>
      </x:c>
      <x:c r="F49" s="30" t="str">
        <x:v>Cuando ejecuta la funcionalidad de programación de entrenamientos</x:v>
      </x:c>
      <x:c r="G49" s="30" t="str">
        <x:v>Entonces el sistema debe completar la operación, guardar la información en sesiones, sesion_participantes, clientes, coaches y mostrar una confirmación clara.</x:v>
      </x:c>
      <x:c r="H49" s="28"/>
      <x:c r="I49" s="28"/>
      <x:c r="J49" s="28"/>
    </x:row>
    <x:row r="50" ht="68" customHeight="1">
      <x:c r="A50" s="30" t="str">
        <x:v>HU-ENT-016</x:v>
      </x:c>
      <x:c r="B50" s="30" t="str">
        <x:v>RF-016</x:v>
      </x:c>
      <x:c r="C50" s="30" t="n">
        <x:v>2</x:v>
      </x:c>
      <x:c r="D50" s="30" t="str">
        <x:v>Validaciones de Programación de entrenamientos</x:v>
      </x:c>
      <x:c r="E50" s="30" t="str">
        <x:v>Dado que existen reglas de negocio, permisos y datos obligatorios asociados al proceso</x:v>
      </x:c>
      <x:c r="F50" s="30" t="str">
        <x:v>Cuando el actor intenta realizar programación de entrenamientos con datos incompletos, inválidos o sin autorización</x:v>
      </x:c>
      <x:c r="G50" s="30" t="str">
        <x:v>Entonces el sistema debe bloquear la operación, explicar el motivo y conservar el estado anterior sin generar inconsistencias.</x:v>
      </x:c>
      <x:c r="H50" s="28"/>
      <x:c r="I50" s="28"/>
      <x:c r="J50" s="28"/>
    </x:row>
    <x:row r="51" ht="68" customHeight="1">
      <x:c r="A51" s="30" t="str">
        <x:v>HU-ENT-016</x:v>
      </x:c>
      <x:c r="B51" s="30" t="str">
        <x:v>RF-016</x:v>
      </x:c>
      <x:c r="C51" s="30" t="n">
        <x:v>3</x:v>
      </x:c>
      <x:c r="D51" s="30" t="str">
        <x:v>Trazabilidad de Programación de entrenamientos</x:v>
      </x:c>
      <x:c r="E51" s="30" t="str">
        <x:v>Dado que la operación de programación de entrenamientos finaliza correctamente o queda rechazada por una regla</x:v>
      </x:c>
      <x:c r="F51" s="30" t="str">
        <x:v>Cuando el sistema actualiza el resultado del proceso</x:v>
      </x:c>
      <x:c r="G51" s="30" t="str">
        <x:v>Entonces debe quedar trazabilidad disponible para consulta administrativa, auditoría funcional, notificaciones o reportes relacionados.</x:v>
      </x:c>
      <x:c r="H51" s="28"/>
      <x:c r="I51" s="28"/>
      <x:c r="J51" s="28"/>
    </x:row>
    <x:row r="52" ht="68" customHeight="1">
      <x:c r="A52" s="30" t="str">
        <x:v>HU-NUT-017</x:v>
      </x:c>
      <x:c r="B52" s="30" t="str">
        <x:v>RF-017</x:v>
      </x:c>
      <x:c r="C52" s="30" t="n">
        <x:v>1</x:v>
      </x:c>
      <x:c r="D52" s="30" t="str">
        <x:v>Creación de plan nutricional ejecutado correctamente</x:v>
      </x:c>
      <x:c r="E52" s="30" t="str">
        <x:v>Dado que el actor Coach tiene las condiciones necesarias para usar el módulo Nutrición</x:v>
      </x:c>
      <x:c r="F52" s="30" t="str">
        <x:v>Cuando ejecuta la funcionalidad de creación de plan nutricional</x:v>
      </x:c>
      <x:c r="G52" s="30" t="str">
        <x:v>Entonces el sistema debe completar la operación, guardar la información en planes_nutricionales, clientes, coaches, acceso_cliente_modulo y mostrar una confirmación clara.</x:v>
      </x:c>
      <x:c r="H52" s="28"/>
      <x:c r="I52" s="28"/>
      <x:c r="J52" s="28"/>
    </x:row>
    <x:row r="53" ht="68" customHeight="1">
      <x:c r="A53" s="30" t="str">
        <x:v>HU-NUT-017</x:v>
      </x:c>
      <x:c r="B53" s="30" t="str">
        <x:v>RF-017</x:v>
      </x:c>
      <x:c r="C53" s="30" t="n">
        <x:v>2</x:v>
      </x:c>
      <x:c r="D53" s="30" t="str">
        <x:v>Validaciones de Creación de plan nutricional</x:v>
      </x:c>
      <x:c r="E53" s="30" t="str">
        <x:v>Dado que existen reglas de negocio, permisos y datos obligatorios asociados al proceso</x:v>
      </x:c>
      <x:c r="F53" s="30" t="str">
        <x:v>Cuando el actor intenta realizar creación de plan nutricional con datos incompletos, inválidos o sin autorización</x:v>
      </x:c>
      <x:c r="G53" s="30" t="str">
        <x:v>Entonces el sistema debe bloquear la operación, explicar el motivo y conservar el estado anterior sin generar inconsistencias.</x:v>
      </x:c>
      <x:c r="H53" s="28"/>
      <x:c r="I53" s="28"/>
      <x:c r="J53" s="28"/>
    </x:row>
    <x:row r="54" ht="68" customHeight="1">
      <x:c r="A54" s="30" t="str">
        <x:v>HU-NUT-017</x:v>
      </x:c>
      <x:c r="B54" s="30" t="str">
        <x:v>RF-017</x:v>
      </x:c>
      <x:c r="C54" s="30" t="n">
        <x:v>3</x:v>
      </x:c>
      <x:c r="D54" s="30" t="str">
        <x:v>Trazabilidad de Creación de plan nutricional</x:v>
      </x:c>
      <x:c r="E54" s="30" t="str">
        <x:v>Dado que la operación de creación de plan nutricional finaliza correctamente o queda rechazada por una regla</x:v>
      </x:c>
      <x:c r="F54" s="30" t="str">
        <x:v>Cuando el sistema actualiza el resultado del proceso</x:v>
      </x:c>
      <x:c r="G54" s="30" t="str">
        <x:v>Entonces debe quedar trazabilidad disponible para consulta administrativa, auditoría funcional, notificaciones o reportes relacionados.</x:v>
      </x:c>
      <x:c r="H54" s="28"/>
      <x:c r="I54" s="28"/>
      <x:c r="J54" s="28"/>
    </x:row>
    <x:row r="55" ht="68" customHeight="1">
      <x:c r="A55" s="30" t="str">
        <x:v>HU-NUT-018</x:v>
      </x:c>
      <x:c r="B55" s="30" t="str">
        <x:v>RF-018</x:v>
      </x:c>
      <x:c r="C55" s="30" t="n">
        <x:v>1</x:v>
      </x:c>
      <x:c r="D55" s="30" t="str">
        <x:v>Asignación de plan nutricional ejecutado correctamente</x:v>
      </x:c>
      <x:c r="E55" s="30" t="str">
        <x:v>Dado que el actor Coach tiene las condiciones necesarias para usar el módulo Nutrición</x:v>
      </x:c>
      <x:c r="F55" s="30" t="str">
        <x:v>Cuando ejecuta la funcionalidad de asignación de plan nutricional</x:v>
      </x:c>
      <x:c r="G55" s="30" t="str">
        <x:v>Entonces el sistema debe completar la operación, guardar la información en planes_nutricionales, clientes y mostrar una confirmación clara.</x:v>
      </x:c>
      <x:c r="H55" s="28"/>
      <x:c r="I55" s="28"/>
      <x:c r="J55" s="28"/>
    </x:row>
    <x:row r="56" ht="68" customHeight="1">
      <x:c r="A56" s="30" t="str">
        <x:v>HU-NUT-018</x:v>
      </x:c>
      <x:c r="B56" s="30" t="str">
        <x:v>RF-018</x:v>
      </x:c>
      <x:c r="C56" s="30" t="n">
        <x:v>2</x:v>
      </x:c>
      <x:c r="D56" s="30" t="str">
        <x:v>Validaciones de Asignación de plan nutricional</x:v>
      </x:c>
      <x:c r="E56" s="30" t="str">
        <x:v>Dado que existen reglas de negocio, permisos y datos obligatorios asociados al proceso</x:v>
      </x:c>
      <x:c r="F56" s="30" t="str">
        <x:v>Cuando el actor intenta realizar asignación de plan nutricional con datos incompletos, inválidos o sin autorización</x:v>
      </x:c>
      <x:c r="G56" s="30" t="str">
        <x:v>Entonces el sistema debe bloquear la operación, explicar el motivo y conservar el estado anterior sin generar inconsistencias.</x:v>
      </x:c>
      <x:c r="H56" s="28"/>
      <x:c r="I56" s="28"/>
      <x:c r="J56" s="28"/>
    </x:row>
    <x:row r="57" ht="68" customHeight="1">
      <x:c r="A57" s="30" t="str">
        <x:v>HU-NUT-018</x:v>
      </x:c>
      <x:c r="B57" s="30" t="str">
        <x:v>RF-018</x:v>
      </x:c>
      <x:c r="C57" s="30" t="n">
        <x:v>3</x:v>
      </x:c>
      <x:c r="D57" s="30" t="str">
        <x:v>Trazabilidad de Asignación de plan nutricional</x:v>
      </x:c>
      <x:c r="E57" s="30" t="str">
        <x:v>Dado que la operación de asignación de plan nutricional finaliza correctamente o queda rechazada por una regla</x:v>
      </x:c>
      <x:c r="F57" s="30" t="str">
        <x:v>Cuando el sistema actualiza el resultado del proceso</x:v>
      </x:c>
      <x:c r="G57" s="30" t="str">
        <x:v>Entonces debe quedar trazabilidad disponible para consulta administrativa, auditoría funcional, notificaciones o reportes relacionados.</x:v>
      </x:c>
      <x:c r="H57" s="28"/>
      <x:c r="I57" s="28"/>
      <x:c r="J57" s="28"/>
    </x:row>
    <x:row r="58" ht="68" customHeight="1">
      <x:c r="A58" s="30" t="str">
        <x:v>HU-NUT-019</x:v>
      </x:c>
      <x:c r="B58" s="30" t="str">
        <x:v>RF-019</x:v>
      </x:c>
      <x:c r="C58" s="30" t="n">
        <x:v>1</x:v>
      </x:c>
      <x:c r="D58" s="30" t="str">
        <x:v>Visualización de plan nutricional ejecutado correctamente</x:v>
      </x:c>
      <x:c r="E58" s="30" t="str">
        <x:v>Dado que el actor Cliente tiene las condiciones necesarias para usar el módulo Nutrición</x:v>
      </x:c>
      <x:c r="F58" s="30" t="str">
        <x:v>Cuando ejecuta la funcionalidad de visualización de plan nutricional</x:v>
      </x:c>
      <x:c r="G58" s="30" t="str">
        <x:v>Entonces el sistema debe completar la operación, guardar la información en planes_nutricionales, comidas, acceso_cliente_modulo y mostrar una confirmación clara.</x:v>
      </x:c>
      <x:c r="H58" s="28"/>
      <x:c r="I58" s="28"/>
      <x:c r="J58" s="28"/>
    </x:row>
    <x:row r="59" ht="68" customHeight="1">
      <x:c r="A59" s="30" t="str">
        <x:v>HU-NUT-019</x:v>
      </x:c>
      <x:c r="B59" s="30" t="str">
        <x:v>RF-019</x:v>
      </x:c>
      <x:c r="C59" s="30" t="n">
        <x:v>2</x:v>
      </x:c>
      <x:c r="D59" s="30" t="str">
        <x:v>Validaciones de Visualización de plan nutricional</x:v>
      </x:c>
      <x:c r="E59" s="30" t="str">
        <x:v>Dado que existen reglas de negocio, permisos y datos obligatorios asociados al proceso</x:v>
      </x:c>
      <x:c r="F59" s="30" t="str">
        <x:v>Cuando el actor intenta realizar visualización de plan nutricional con datos incompletos, inválidos o sin autorización</x:v>
      </x:c>
      <x:c r="G59" s="30" t="str">
        <x:v>Entonces el sistema debe bloquear la operación, explicar el motivo y conservar el estado anterior sin generar inconsistencias.</x:v>
      </x:c>
      <x:c r="H59" s="28"/>
      <x:c r="I59" s="28"/>
      <x:c r="J59" s="28"/>
    </x:row>
    <x:row r="60" ht="68" customHeight="1">
      <x:c r="A60" s="30" t="str">
        <x:v>HU-NUT-019</x:v>
      </x:c>
      <x:c r="B60" s="30" t="str">
        <x:v>RF-019</x:v>
      </x:c>
      <x:c r="C60" s="30" t="n">
        <x:v>3</x:v>
      </x:c>
      <x:c r="D60" s="30" t="str">
        <x:v>Trazabilidad de Visualización de plan nutricional</x:v>
      </x:c>
      <x:c r="E60" s="30" t="str">
        <x:v>Dado que la operación de visualización de plan nutricional finaliza correctamente o queda rechazada por una regla</x:v>
      </x:c>
      <x:c r="F60" s="30" t="str">
        <x:v>Cuando el sistema actualiza el resultado del proceso</x:v>
      </x:c>
      <x:c r="G60" s="30" t="str">
        <x:v>Entonces debe quedar trazabilidad disponible para consulta administrativa, auditoría funcional, notificaciones o reportes relacionados.</x:v>
      </x:c>
      <x:c r="H60" s="28"/>
      <x:c r="I60" s="28"/>
      <x:c r="J60" s="28"/>
    </x:row>
    <x:row r="61" ht="68" customHeight="1">
      <x:c r="A61" s="30" t="str">
        <x:v>HU-NUT-020</x:v>
      </x:c>
      <x:c r="B61" s="30" t="str">
        <x:v>RF-020</x:v>
      </x:c>
      <x:c r="C61" s="30" t="n">
        <x:v>1</x:v>
      </x:c>
      <x:c r="D61" s="30" t="str">
        <x:v>Actualización de plan nutricional ejecutado correctamente</x:v>
      </x:c>
      <x:c r="E61" s="30" t="str">
        <x:v>Dado que el actor Coach tiene las condiciones necesarias para usar el módulo Nutrición</x:v>
      </x:c>
      <x:c r="F61" s="30" t="str">
        <x:v>Cuando ejecuta la funcionalidad de actualización de plan nutricional</x:v>
      </x:c>
      <x:c r="G61" s="30" t="str">
        <x:v>Entonces el sistema debe completar la operación, guardar la información en planes_nutricionales, comidas y mostrar una confirmación clara.</x:v>
      </x:c>
      <x:c r="H61" s="28"/>
      <x:c r="I61" s="28"/>
      <x:c r="J61" s="28"/>
    </x:row>
    <x:row r="62" ht="68" customHeight="1">
      <x:c r="A62" s="30" t="str">
        <x:v>HU-NUT-020</x:v>
      </x:c>
      <x:c r="B62" s="30" t="str">
        <x:v>RF-020</x:v>
      </x:c>
      <x:c r="C62" s="30" t="n">
        <x:v>2</x:v>
      </x:c>
      <x:c r="D62" s="30" t="str">
        <x:v>Validaciones de Actualización de plan nutricional</x:v>
      </x:c>
      <x:c r="E62" s="30" t="str">
        <x:v>Dado que existen reglas de negocio, permisos y datos obligatorios asociados al proceso</x:v>
      </x:c>
      <x:c r="F62" s="30" t="str">
        <x:v>Cuando el actor intenta realizar actualización de plan nutricional con datos incompletos, inválidos o sin autorización</x:v>
      </x:c>
      <x:c r="G62" s="30" t="str">
        <x:v>Entonces el sistema debe bloquear la operación, explicar el motivo y conservar el estado anterior sin generar inconsistencias.</x:v>
      </x:c>
      <x:c r="H62" s="28"/>
      <x:c r="I62" s="28"/>
      <x:c r="J62" s="28"/>
    </x:row>
    <x:row r="63" ht="68" customHeight="1">
      <x:c r="A63" s="30" t="str">
        <x:v>HU-NUT-020</x:v>
      </x:c>
      <x:c r="B63" s="30" t="str">
        <x:v>RF-020</x:v>
      </x:c>
      <x:c r="C63" s="30" t="n">
        <x:v>3</x:v>
      </x:c>
      <x:c r="D63" s="30" t="str">
        <x:v>Trazabilidad de Actualización de plan nutricional</x:v>
      </x:c>
      <x:c r="E63" s="30" t="str">
        <x:v>Dado que la operación de actualización de plan nutricional finaliza correctamente o queda rechazada por una regla</x:v>
      </x:c>
      <x:c r="F63" s="30" t="str">
        <x:v>Cuando el sistema actualiza el resultado del proceso</x:v>
      </x:c>
      <x:c r="G63" s="30" t="str">
        <x:v>Entonces debe quedar trazabilidad disponible para consulta administrativa, auditoría funcional, notificaciones o reportes relacionados.</x:v>
      </x:c>
      <x:c r="H63" s="28"/>
      <x:c r="I63" s="28"/>
      <x:c r="J63" s="28"/>
    </x:row>
    <x:row r="64" ht="68" customHeight="1">
      <x:c r="A64" s="30" t="str">
        <x:v>HU-NUT-021</x:v>
      </x:c>
      <x:c r="B64" s="30" t="str">
        <x:v>RF-021</x:v>
      </x:c>
      <x:c r="C64" s="30" t="n">
        <x:v>1</x:v>
      </x:c>
      <x:c r="D64" s="30" t="str">
        <x:v>Registro de recomendaciones nutricionales ejecutado correctamente</x:v>
      </x:c>
      <x:c r="E64" s="30" t="str">
        <x:v>Dado que el actor Coach tiene las condiciones necesarias para usar el módulo Nutrición</x:v>
      </x:c>
      <x:c r="F64" s="30" t="str">
        <x:v>Cuando ejecuta la funcionalidad de registro de recomendaciones nutricionales</x:v>
      </x:c>
      <x:c r="G64" s="30" t="str">
        <x:v>Entonces el sistema debe completar la operación, guardar la información en planes_nutricionales y mostrar una confirmación clara.</x:v>
      </x:c>
      <x:c r="H64" s="28"/>
      <x:c r="I64" s="28"/>
      <x:c r="J64" s="28"/>
    </x:row>
    <x:row r="65" ht="68" customHeight="1">
      <x:c r="A65" s="30" t="str">
        <x:v>HU-NUT-021</x:v>
      </x:c>
      <x:c r="B65" s="30" t="str">
        <x:v>RF-021</x:v>
      </x:c>
      <x:c r="C65" s="30" t="n">
        <x:v>2</x:v>
      </x:c>
      <x:c r="D65" s="30" t="str">
        <x:v>Validaciones de Registro de recomendaciones nutricionales</x:v>
      </x:c>
      <x:c r="E65" s="30" t="str">
        <x:v>Dado que existen reglas de negocio, permisos y datos obligatorios asociados al proceso</x:v>
      </x:c>
      <x:c r="F65" s="30" t="str">
        <x:v>Cuando el actor intenta realizar registro de recomendaciones nutricionales con datos incompletos, inválidos o sin autorización</x:v>
      </x:c>
      <x:c r="G65" s="30" t="str">
        <x:v>Entonces el sistema debe bloquear la operación, explicar el motivo y conservar el estado anterior sin generar inconsistencias.</x:v>
      </x:c>
      <x:c r="H65" s="28"/>
      <x:c r="I65" s="28"/>
      <x:c r="J65" s="28"/>
    </x:row>
    <x:row r="66" ht="68" customHeight="1">
      <x:c r="A66" s="30" t="str">
        <x:v>HU-NUT-021</x:v>
      </x:c>
      <x:c r="B66" s="30" t="str">
        <x:v>RF-021</x:v>
      </x:c>
      <x:c r="C66" s="30" t="n">
        <x:v>3</x:v>
      </x:c>
      <x:c r="D66" s="30" t="str">
        <x:v>Trazabilidad de Registro de recomendaciones nutricionales</x:v>
      </x:c>
      <x:c r="E66" s="30" t="str">
        <x:v>Dado que la operación de registro de recomendaciones nutricionales finaliza correctamente o queda rechazada por una regla</x:v>
      </x:c>
      <x:c r="F66" s="30" t="str">
        <x:v>Cuando el sistema actualiza el resultado del proceso</x:v>
      </x:c>
      <x:c r="G66" s="30" t="str">
        <x:v>Entonces debe quedar trazabilidad disponible para consulta administrativa, auditoría funcional, notificaciones o reportes relacionados.</x:v>
      </x:c>
      <x:c r="H66" s="28"/>
      <x:c r="I66" s="28"/>
      <x:c r="J66" s="28"/>
    </x:row>
    <x:row r="67" ht="68" customHeight="1">
      <x:c r="A67" s="30" t="str">
        <x:v>HU-PRO-022</x:v>
      </x:c>
      <x:c r="B67" s="30" t="str">
        <x:v>RF-022</x:v>
      </x:c>
      <x:c r="C67" s="30" t="n">
        <x:v>1</x:v>
      </x:c>
      <x:c r="D67" s="30" t="str">
        <x:v>Registro de peso ejecutado correctamente</x:v>
      </x:c>
      <x:c r="E67" s="30" t="str">
        <x:v>Dado que el actor Cliente tiene las condiciones necesarias para usar el módulo Progreso</x:v>
      </x:c>
      <x:c r="F67" s="30" t="str">
        <x:v>Cuando ejecuta la funcionalidad de registro de peso</x:v>
      </x:c>
      <x:c r="G67" s="30" t="str">
        <x:v>Entonces el sistema debe completar la operación, guardar la información en registros_progreso y mostrar una confirmación clara.</x:v>
      </x:c>
      <x:c r="H67" s="28"/>
      <x:c r="I67" s="28"/>
      <x:c r="J67" s="28"/>
    </x:row>
    <x:row r="68" ht="68" customHeight="1">
      <x:c r="A68" s="30" t="str">
        <x:v>HU-PRO-022</x:v>
      </x:c>
      <x:c r="B68" s="30" t="str">
        <x:v>RF-022</x:v>
      </x:c>
      <x:c r="C68" s="30" t="n">
        <x:v>2</x:v>
      </x:c>
      <x:c r="D68" s="30" t="str">
        <x:v>Validaciones de Registro de peso</x:v>
      </x:c>
      <x:c r="E68" s="30" t="str">
        <x:v>Dado que existen reglas de negocio, permisos y datos obligatorios asociados al proceso</x:v>
      </x:c>
      <x:c r="F68" s="30" t="str">
        <x:v>Cuando el actor intenta realizar registro de peso con datos incompletos, inválidos o sin autorización</x:v>
      </x:c>
      <x:c r="G68" s="30" t="str">
        <x:v>Entonces el sistema debe bloquear la operación, explicar el motivo y conservar el estado anterior sin generar inconsistencias.</x:v>
      </x:c>
      <x:c r="H68" s="28"/>
      <x:c r="I68" s="28"/>
      <x:c r="J68" s="28"/>
    </x:row>
    <x:row r="69" ht="68" customHeight="1">
      <x:c r="A69" s="30" t="str">
        <x:v>HU-PRO-022</x:v>
      </x:c>
      <x:c r="B69" s="30" t="str">
        <x:v>RF-022</x:v>
      </x:c>
      <x:c r="C69" s="30" t="n">
        <x:v>3</x:v>
      </x:c>
      <x:c r="D69" s="30" t="str">
        <x:v>Trazabilidad de Registro de peso</x:v>
      </x:c>
      <x:c r="E69" s="30" t="str">
        <x:v>Dado que la operación de registro de peso finaliza correctamente o queda rechazada por una regla</x:v>
      </x:c>
      <x:c r="F69" s="30" t="str">
        <x:v>Cuando el sistema actualiza el resultado del proceso</x:v>
      </x:c>
      <x:c r="G69" s="30" t="str">
        <x:v>Entonces debe quedar trazabilidad disponible para consulta administrativa, auditoría funcional, notificaciones o reportes relacionados.</x:v>
      </x:c>
      <x:c r="H69" s="28"/>
      <x:c r="I69" s="28"/>
      <x:c r="J69" s="28"/>
    </x:row>
    <x:row r="70" ht="68" customHeight="1">
      <x:c r="A70" s="30" t="str">
        <x:v>HU-PRO-023</x:v>
      </x:c>
      <x:c r="B70" s="30" t="str">
        <x:v>RF-023</x:v>
      </x:c>
      <x:c r="C70" s="30" t="n">
        <x:v>1</x:v>
      </x:c>
      <x:c r="D70" s="30" t="str">
        <x:v>Registro de medidas corporales ejecutado correctamente</x:v>
      </x:c>
      <x:c r="E70" s="30" t="str">
        <x:v>Dado que el actor Cliente tiene las condiciones necesarias para usar el módulo Progreso</x:v>
      </x:c>
      <x:c r="F70" s="30" t="str">
        <x:v>Cuando ejecuta la funcionalidad de registro de medidas corporales</x:v>
      </x:c>
      <x:c r="G70" s="30" t="str">
        <x:v>Entonces el sistema debe completar la operación, guardar la información en registros_progreso y mostrar una confirmación clara.</x:v>
      </x:c>
      <x:c r="H70" s="28"/>
      <x:c r="I70" s="28"/>
      <x:c r="J70" s="28"/>
    </x:row>
    <x:row r="71" ht="68" customHeight="1">
      <x:c r="A71" s="30" t="str">
        <x:v>HU-PRO-023</x:v>
      </x:c>
      <x:c r="B71" s="30" t="str">
        <x:v>RF-023</x:v>
      </x:c>
      <x:c r="C71" s="30" t="n">
        <x:v>2</x:v>
      </x:c>
      <x:c r="D71" s="30" t="str">
        <x:v>Validaciones de Registro de medidas corporales</x:v>
      </x:c>
      <x:c r="E71" s="30" t="str">
        <x:v>Dado que existen reglas de negocio, permisos y datos obligatorios asociados al proceso</x:v>
      </x:c>
      <x:c r="F71" s="30" t="str">
        <x:v>Cuando el actor intenta realizar registro de medidas corporales con datos incompletos, inválidos o sin autorización</x:v>
      </x:c>
      <x:c r="G71" s="30" t="str">
        <x:v>Entonces el sistema debe bloquear la operación, explicar el motivo y conservar el estado anterior sin generar inconsistencias.</x:v>
      </x:c>
      <x:c r="H71" s="28"/>
      <x:c r="I71" s="28"/>
      <x:c r="J71" s="28"/>
    </x:row>
    <x:row r="72" ht="68" customHeight="1">
      <x:c r="A72" s="30" t="str">
        <x:v>HU-PRO-023</x:v>
      </x:c>
      <x:c r="B72" s="30" t="str">
        <x:v>RF-023</x:v>
      </x:c>
      <x:c r="C72" s="30" t="n">
        <x:v>3</x:v>
      </x:c>
      <x:c r="D72" s="30" t="str">
        <x:v>Trazabilidad de Registro de medidas corporales</x:v>
      </x:c>
      <x:c r="E72" s="30" t="str">
        <x:v>Dado que la operación de registro de medidas corporales finaliza correctamente o queda rechazada por una regla</x:v>
      </x:c>
      <x:c r="F72" s="30" t="str">
        <x:v>Cuando el sistema actualiza el resultado del proceso</x:v>
      </x:c>
      <x:c r="G72" s="30" t="str">
        <x:v>Entonces debe quedar trazabilidad disponible para consulta administrativa, auditoría funcional, notificaciones o reportes relacionados.</x:v>
      </x:c>
      <x:c r="H72" s="28"/>
      <x:c r="I72" s="28"/>
      <x:c r="J72" s="28"/>
    </x:row>
    <x:row r="73" ht="68" customHeight="1">
      <x:c r="A73" s="30" t="str">
        <x:v>HU-PRO-024</x:v>
      </x:c>
      <x:c r="B73" s="30" t="str">
        <x:v>RF-024</x:v>
      </x:c>
      <x:c r="C73" s="30" t="n">
        <x:v>1</x:v>
      </x:c>
      <x:c r="D73" s="30" t="str">
        <x:v>Registro fotográfico de progreso ejecutado correctamente</x:v>
      </x:c>
      <x:c r="E73" s="30" t="str">
        <x:v>Dado que el actor Cliente tiene las condiciones necesarias para usar el módulo Progreso</x:v>
      </x:c>
      <x:c r="F73" s="30" t="str">
        <x:v>Cuando ejecuta la funcionalidad de registro fotográfico de progreso</x:v>
      </x:c>
      <x:c r="G73" s="30" t="str">
        <x:v>Entonces el sistema debe completar la operación, guardar la información en registros_progreso y mostrar una confirmación clara.</x:v>
      </x:c>
      <x:c r="H73" s="28"/>
      <x:c r="I73" s="28"/>
      <x:c r="J73" s="28"/>
    </x:row>
    <x:row r="74" ht="68" customHeight="1">
      <x:c r="A74" s="30" t="str">
        <x:v>HU-PRO-024</x:v>
      </x:c>
      <x:c r="B74" s="30" t="str">
        <x:v>RF-024</x:v>
      </x:c>
      <x:c r="C74" s="30" t="n">
        <x:v>2</x:v>
      </x:c>
      <x:c r="D74" s="30" t="str">
        <x:v>Validaciones de Registro fotográfico de progreso</x:v>
      </x:c>
      <x:c r="E74" s="30" t="str">
        <x:v>Dado que existen reglas de negocio, permisos y datos obligatorios asociados al proceso</x:v>
      </x:c>
      <x:c r="F74" s="30" t="str">
        <x:v>Cuando el actor intenta realizar registro fotográfico de progreso con datos incompletos, inválidos o sin autorización</x:v>
      </x:c>
      <x:c r="G74" s="30" t="str">
        <x:v>Entonces el sistema debe bloquear la operación, explicar el motivo y conservar el estado anterior sin generar inconsistencias.</x:v>
      </x:c>
      <x:c r="H74" s="28"/>
      <x:c r="I74" s="28"/>
      <x:c r="J74" s="28"/>
    </x:row>
    <x:row r="75" ht="68" customHeight="1">
      <x:c r="A75" s="30" t="str">
        <x:v>HU-PRO-024</x:v>
      </x:c>
      <x:c r="B75" s="30" t="str">
        <x:v>RF-024</x:v>
      </x:c>
      <x:c r="C75" s="30" t="n">
        <x:v>3</x:v>
      </x:c>
      <x:c r="D75" s="30" t="str">
        <x:v>Trazabilidad de Registro fotográfico de progreso</x:v>
      </x:c>
      <x:c r="E75" s="30" t="str">
        <x:v>Dado que la operación de registro fotográfico de progreso finaliza correctamente o queda rechazada por una regla</x:v>
      </x:c>
      <x:c r="F75" s="30" t="str">
        <x:v>Cuando el sistema actualiza el resultado del proceso</x:v>
      </x:c>
      <x:c r="G75" s="30" t="str">
        <x:v>Entonces debe quedar trazabilidad disponible para consulta administrativa, auditoría funcional, notificaciones o reportes relacionados.</x:v>
      </x:c>
      <x:c r="H75" s="28"/>
      <x:c r="I75" s="28"/>
      <x:c r="J75" s="28"/>
    </x:row>
    <x:row r="76" ht="68" customHeight="1">
      <x:c r="A76" s="30" t="str">
        <x:v>HU-PRO-025</x:v>
      </x:c>
      <x:c r="B76" s="30" t="str">
        <x:v>RF-025</x:v>
      </x:c>
      <x:c r="C76" s="30" t="n">
        <x:v>1</x:v>
      </x:c>
      <x:c r="D76" s="30" t="str">
        <x:v>Historial de progreso ejecutado correctamente</x:v>
      </x:c>
      <x:c r="E76" s="30" t="str">
        <x:v>Dado que el actor Cliente tiene las condiciones necesarias para usar el módulo Progreso</x:v>
      </x:c>
      <x:c r="F76" s="30" t="str">
        <x:v>Cuando ejecuta la funcionalidad de historial de progreso</x:v>
      </x:c>
      <x:c r="G76" s="30" t="str">
        <x:v>Entonces el sistema debe completar la operación, guardar la información en registros_progreso y mostrar una confirmación clara.</x:v>
      </x:c>
      <x:c r="H76" s="28"/>
      <x:c r="I76" s="28"/>
      <x:c r="J76" s="28"/>
    </x:row>
    <x:row r="77" ht="68" customHeight="1">
      <x:c r="A77" s="30" t="str">
        <x:v>HU-PRO-025</x:v>
      </x:c>
      <x:c r="B77" s="30" t="str">
        <x:v>RF-025</x:v>
      </x:c>
      <x:c r="C77" s="30" t="n">
        <x:v>2</x:v>
      </x:c>
      <x:c r="D77" s="30" t="str">
        <x:v>Validaciones de Historial de progreso</x:v>
      </x:c>
      <x:c r="E77" s="30" t="str">
        <x:v>Dado que existen reglas de negocio, permisos y datos obligatorios asociados al proceso</x:v>
      </x:c>
      <x:c r="F77" s="30" t="str">
        <x:v>Cuando el actor intenta realizar historial de progreso con datos incompletos, inválidos o sin autorización</x:v>
      </x:c>
      <x:c r="G77" s="30" t="str">
        <x:v>Entonces el sistema debe bloquear la operación, explicar el motivo y conservar el estado anterior sin generar inconsistencias.</x:v>
      </x:c>
      <x:c r="H77" s="28"/>
      <x:c r="I77" s="28"/>
      <x:c r="J77" s="28"/>
    </x:row>
    <x:row r="78" ht="68" customHeight="1">
      <x:c r="A78" s="30" t="str">
        <x:v>HU-PRO-025</x:v>
      </x:c>
      <x:c r="B78" s="30" t="str">
        <x:v>RF-025</x:v>
      </x:c>
      <x:c r="C78" s="30" t="n">
        <x:v>3</x:v>
      </x:c>
      <x:c r="D78" s="30" t="str">
        <x:v>Trazabilidad de Historial de progreso</x:v>
      </x:c>
      <x:c r="E78" s="30" t="str">
        <x:v>Dado que la operación de historial de progreso finaliza correctamente o queda rechazada por una regla</x:v>
      </x:c>
      <x:c r="F78" s="30" t="str">
        <x:v>Cuando el sistema actualiza el resultado del proceso</x:v>
      </x:c>
      <x:c r="G78" s="30" t="str">
        <x:v>Entonces debe quedar trazabilidad disponible para consulta administrativa, auditoría funcional, notificaciones o reportes relacionados.</x:v>
      </x:c>
      <x:c r="H78" s="28"/>
      <x:c r="I78" s="28"/>
      <x:c r="J78" s="28"/>
    </x:row>
    <x:row r="79" ht="68" customHeight="1">
      <x:c r="A79" s="30" t="str">
        <x:v>HU-PRO-026</x:v>
      </x:c>
      <x:c r="B79" s="30" t="str">
        <x:v>RF-026</x:v>
      </x:c>
      <x:c r="C79" s="30" t="n">
        <x:v>1</x:v>
      </x:c>
      <x:c r="D79" s="30" t="str">
        <x:v>Comparación de progreso ejecutado correctamente</x:v>
      </x:c>
      <x:c r="E79" s="30" t="str">
        <x:v>Dado que el actor Cliente tiene las condiciones necesarias para usar el módulo Progreso</x:v>
      </x:c>
      <x:c r="F79" s="30" t="str">
        <x:v>Cuando ejecuta la funcionalidad de comparación de progreso</x:v>
      </x:c>
      <x:c r="G79" s="30" t="str">
        <x:v>Entonces el sistema debe completar la operación, guardar la información en registros_progreso y mostrar una confirmación clara.</x:v>
      </x:c>
      <x:c r="H79" s="28"/>
      <x:c r="I79" s="28"/>
      <x:c r="J79" s="28"/>
    </x:row>
    <x:row r="80" ht="68" customHeight="1">
      <x:c r="A80" s="30" t="str">
        <x:v>HU-PRO-026</x:v>
      </x:c>
      <x:c r="B80" s="30" t="str">
        <x:v>RF-026</x:v>
      </x:c>
      <x:c r="C80" s="30" t="n">
        <x:v>2</x:v>
      </x:c>
      <x:c r="D80" s="30" t="str">
        <x:v>Validaciones de Comparación de progreso</x:v>
      </x:c>
      <x:c r="E80" s="30" t="str">
        <x:v>Dado que existen reglas de negocio, permisos y datos obligatorios asociados al proceso</x:v>
      </x:c>
      <x:c r="F80" s="30" t="str">
        <x:v>Cuando el actor intenta realizar comparación de progreso con datos incompletos, inválidos o sin autorización</x:v>
      </x:c>
      <x:c r="G80" s="30" t="str">
        <x:v>Entonces el sistema debe bloquear la operación, explicar el motivo y conservar el estado anterior sin generar inconsistencias.</x:v>
      </x:c>
      <x:c r="H80" s="28"/>
      <x:c r="I80" s="28"/>
      <x:c r="J80" s="28"/>
    </x:row>
    <x:row r="81" ht="68" customHeight="1">
      <x:c r="A81" s="30" t="str">
        <x:v>HU-PRO-026</x:v>
      </x:c>
      <x:c r="B81" s="30" t="str">
        <x:v>RF-026</x:v>
      </x:c>
      <x:c r="C81" s="30" t="n">
        <x:v>3</x:v>
      </x:c>
      <x:c r="D81" s="30" t="str">
        <x:v>Trazabilidad de Comparación de progreso</x:v>
      </x:c>
      <x:c r="E81" s="30" t="str">
        <x:v>Dado que la operación de comparación de progreso finaliza correctamente o queda rechazada por una regla</x:v>
      </x:c>
      <x:c r="F81" s="30" t="str">
        <x:v>Cuando el sistema actualiza el resultado del proceso</x:v>
      </x:c>
      <x:c r="G81" s="30" t="str">
        <x:v>Entonces debe quedar trazabilidad disponible para consulta administrativa, auditoría funcional, notificaciones o reportes relacionados.</x:v>
      </x:c>
      <x:c r="H81" s="28"/>
      <x:c r="I81" s="28"/>
      <x:c r="J81" s="28"/>
    </x:row>
    <x:row r="82" ht="68" customHeight="1">
      <x:c r="A82" s="30" t="str">
        <x:v>HU-PRO-027</x:v>
      </x:c>
      <x:c r="B82" s="30" t="str">
        <x:v>RF-027</x:v>
      </x:c>
      <x:c r="C82" s="30" t="n">
        <x:v>1</x:v>
      </x:c>
      <x:c r="D82" s="30" t="str">
        <x:v>Observaciones del coach sobre progreso ejecutado correctamente</x:v>
      </x:c>
      <x:c r="E82" s="30" t="str">
        <x:v>Dado que el actor Coach tiene las condiciones necesarias para usar el módulo Progreso</x:v>
      </x:c>
      <x:c r="F82" s="30" t="str">
        <x:v>Cuando ejecuta la funcionalidad de observaciones del coach sobre progreso</x:v>
      </x:c>
      <x:c r="G82" s="30" t="str">
        <x:v>Entonces el sistema debe completar la operación, guardar la información en registros_progreso, coaches y mostrar una confirmación clara.</x:v>
      </x:c>
      <x:c r="H82" s="28"/>
      <x:c r="I82" s="28"/>
      <x:c r="J82" s="28"/>
    </x:row>
    <x:row r="83" ht="68" customHeight="1">
      <x:c r="A83" s="30" t="str">
        <x:v>HU-PRO-027</x:v>
      </x:c>
      <x:c r="B83" s="30" t="str">
        <x:v>RF-027</x:v>
      </x:c>
      <x:c r="C83" s="30" t="n">
        <x:v>2</x:v>
      </x:c>
      <x:c r="D83" s="30" t="str">
        <x:v>Validaciones de Observaciones del coach sobre progreso</x:v>
      </x:c>
      <x:c r="E83" s="30" t="str">
        <x:v>Dado que existen reglas de negocio, permisos y datos obligatorios asociados al proceso</x:v>
      </x:c>
      <x:c r="F83" s="30" t="str">
        <x:v>Cuando el actor intenta realizar observaciones del coach sobre progreso con datos incompletos, inválidos o sin autorización</x:v>
      </x:c>
      <x:c r="G83" s="30" t="str">
        <x:v>Entonces el sistema debe bloquear la operación, explicar el motivo y conservar el estado anterior sin generar inconsistencias.</x:v>
      </x:c>
      <x:c r="H83" s="28"/>
      <x:c r="I83" s="28"/>
      <x:c r="J83" s="28"/>
    </x:row>
    <x:row r="84" ht="68" customHeight="1">
      <x:c r="A84" s="30" t="str">
        <x:v>HU-PRO-027</x:v>
      </x:c>
      <x:c r="B84" s="30" t="str">
        <x:v>RF-027</x:v>
      </x:c>
      <x:c r="C84" s="30" t="n">
        <x:v>3</x:v>
      </x:c>
      <x:c r="D84" s="30" t="str">
        <x:v>Trazabilidad de Observaciones del coach sobre progreso</x:v>
      </x:c>
      <x:c r="E84" s="30" t="str">
        <x:v>Dado que la operación de observaciones del coach sobre progreso finaliza correctamente o queda rechazada por una regla</x:v>
      </x:c>
      <x:c r="F84" s="30" t="str">
        <x:v>Cuando el sistema actualiza el resultado del proceso</x:v>
      </x:c>
      <x:c r="G84" s="30" t="str">
        <x:v>Entonces debe quedar trazabilidad disponible para consulta administrativa, auditoría funcional, notificaciones o reportes relacionados.</x:v>
      </x:c>
      <x:c r="H84" s="28"/>
      <x:c r="I84" s="28"/>
      <x:c r="J84" s="28"/>
    </x:row>
    <x:row r="85" ht="68" customHeight="1">
      <x:c r="A85" s="30" t="str">
        <x:v>HU-PAG-028</x:v>
      </x:c>
      <x:c r="B85" s="30" t="str">
        <x:v>RF-028</x:v>
      </x:c>
      <x:c r="C85" s="30" t="n">
        <x:v>1</x:v>
      </x:c>
      <x:c r="D85" s="30" t="str">
        <x:v>Registro de pago asociado a compra ejecutado correctamente</x:v>
      </x:c>
      <x:c r="E85" s="30" t="str">
        <x:v>Dado que el actor Visitante / Cliente tiene las condiciones necesarias para usar el módulo Pagos, solicitudes, cupos y acceso</x:v>
      </x:c>
      <x:c r="F85" s="30" t="str">
        <x:v>Cuando ejecuta la funcionalidad de registro de pago asociado a compra</x:v>
      </x:c>
      <x:c r="G85" s="30" t="str">
        <x:v>Entonces el sistema debe completar la operación, guardar la información en pagos, solicitudes_compra, planes y mostrar una confirmación clara.</x:v>
      </x:c>
      <x:c r="H85" s="28"/>
      <x:c r="I85" s="28"/>
      <x:c r="J85" s="28"/>
    </x:row>
    <x:row r="86" ht="68" customHeight="1">
      <x:c r="A86" s="30" t="str">
        <x:v>HU-PAG-028</x:v>
      </x:c>
      <x:c r="B86" s="30" t="str">
        <x:v>RF-028</x:v>
      </x:c>
      <x:c r="C86" s="30" t="n">
        <x:v>2</x:v>
      </x:c>
      <x:c r="D86" s="30" t="str">
        <x:v>Validaciones de Registro de pago asociado a compra</x:v>
      </x:c>
      <x:c r="E86" s="30" t="str">
        <x:v>Dado que existen reglas de negocio, permisos y datos obligatorios asociados al proceso</x:v>
      </x:c>
      <x:c r="F86" s="30" t="str">
        <x:v>Cuando el actor intenta realizar registro de pago asociado a compra con datos incompletos, inválidos o sin autorización</x:v>
      </x:c>
      <x:c r="G86" s="30" t="str">
        <x:v>Entonces el sistema debe bloquear la operación, explicar el motivo y conservar el estado anterior sin generar inconsistencias.</x:v>
      </x:c>
      <x:c r="H86" s="28"/>
      <x:c r="I86" s="28"/>
      <x:c r="J86" s="28"/>
    </x:row>
    <x:row r="87" ht="68" customHeight="1">
      <x:c r="A87" s="30" t="str">
        <x:v>HU-PAG-028</x:v>
      </x:c>
      <x:c r="B87" s="30" t="str">
        <x:v>RF-028</x:v>
      </x:c>
      <x:c r="C87" s="30" t="n">
        <x:v>3</x:v>
      </x:c>
      <x:c r="D87" s="30" t="str">
        <x:v>Trazabilidad de Registro de pago asociado a compra</x:v>
      </x:c>
      <x:c r="E87" s="30" t="str">
        <x:v>Dado que la operación de registro de pago asociado a compra finaliza correctamente o queda rechazada por una regla</x:v>
      </x:c>
      <x:c r="F87" s="30" t="str">
        <x:v>Cuando el sistema actualiza el resultado del proceso</x:v>
      </x:c>
      <x:c r="G87" s="30" t="str">
        <x:v>Entonces debe quedar trazabilidad disponible para consulta administrativa, auditoría funcional, notificaciones o reportes relacionados.</x:v>
      </x:c>
      <x:c r="H87" s="28"/>
      <x:c r="I87" s="28"/>
      <x:c r="J87" s="28"/>
    </x:row>
    <x:row r="88" ht="68" customHeight="1">
      <x:c r="A88" s="30" t="str">
        <x:v>HU-PAG-029</x:v>
      </x:c>
      <x:c r="B88" s="30" t="str">
        <x:v>RF-029</x:v>
      </x:c>
      <x:c r="C88" s="30" t="n">
        <x:v>1</x:v>
      </x:c>
      <x:c r="D88" s="30" t="str">
        <x:v>Validación de solicitud de compra y pago ejecutado correctamente</x:v>
      </x:c>
      <x:c r="E88" s="30" t="str">
        <x:v>Dado que el actor Administrador tiene las condiciones necesarias para usar el módulo Pagos, solicitudes, cupos y acceso</x:v>
      </x:c>
      <x:c r="F88" s="30" t="str">
        <x:v>Cuando ejecuta la funcionalidad de validación de solicitud de compra y pago</x:v>
      </x:c>
      <x:c r="G88" s="30" t="str">
        <x:v>Entonces el sistema debe completar la operación, guardar la información en solicitudes_compra, pagos, user y mostrar una confirmación clara.</x:v>
      </x:c>
      <x:c r="H88" s="28"/>
      <x:c r="I88" s="28"/>
      <x:c r="J88" s="28"/>
    </x:row>
    <x:row r="89" ht="68" customHeight="1">
      <x:c r="A89" s="30" t="str">
        <x:v>HU-PAG-029</x:v>
      </x:c>
      <x:c r="B89" s="30" t="str">
        <x:v>RF-029</x:v>
      </x:c>
      <x:c r="C89" s="30" t="n">
        <x:v>2</x:v>
      </x:c>
      <x:c r="D89" s="30" t="str">
        <x:v>Validaciones de Validación de solicitud de compra y pago</x:v>
      </x:c>
      <x:c r="E89" s="30" t="str">
        <x:v>Dado que existen reglas de negocio, permisos y datos obligatorios asociados al proceso</x:v>
      </x:c>
      <x:c r="F89" s="30" t="str">
        <x:v>Cuando el actor intenta realizar validación de solicitud de compra y pago con datos incompletos, inválidos o sin autorización</x:v>
      </x:c>
      <x:c r="G89" s="30" t="str">
        <x:v>Entonces el sistema debe bloquear la operación, explicar el motivo y conservar el estado anterior sin generar inconsistencias.</x:v>
      </x:c>
      <x:c r="H89" s="28"/>
      <x:c r="I89" s="28"/>
      <x:c r="J89" s="28"/>
    </x:row>
    <x:row r="90" ht="68" customHeight="1">
      <x:c r="A90" s="30" t="str">
        <x:v>HU-PAG-029</x:v>
      </x:c>
      <x:c r="B90" s="30" t="str">
        <x:v>RF-029</x:v>
      </x:c>
      <x:c r="C90" s="30" t="n">
        <x:v>3</x:v>
      </x:c>
      <x:c r="D90" s="30" t="str">
        <x:v>Trazabilidad de Validación de solicitud de compra y pago</x:v>
      </x:c>
      <x:c r="E90" s="30" t="str">
        <x:v>Dado que la operación de validación de solicitud de compra y pago finaliza correctamente o queda rechazada por una regla</x:v>
      </x:c>
      <x:c r="F90" s="30" t="str">
        <x:v>Cuando el sistema actualiza el resultado del proceso</x:v>
      </x:c>
      <x:c r="G90" s="30" t="str">
        <x:v>Entonces debe quedar trazabilidad disponible para consulta administrativa, auditoría funcional, notificaciones o reportes relacionados.</x:v>
      </x:c>
      <x:c r="H90" s="28"/>
      <x:c r="I90" s="28"/>
      <x:c r="J90" s="28"/>
    </x:row>
    <x:row r="91" ht="68" customHeight="1">
      <x:c r="A91" s="30" t="str">
        <x:v>HU-PAG-030</x:v>
      </x:c>
      <x:c r="B91" s="30" t="str">
        <x:v>RF-030</x:v>
      </x:c>
      <x:c r="C91" s="30" t="n">
        <x:v>1</x:v>
      </x:c>
      <x:c r="D91" s="30" t="str">
        <x:v>Activación automática de cliente y accesos ejecutado correctamente</x:v>
      </x:c>
      <x:c r="E91" s="30" t="str">
        <x:v>Dado que el actor Sistema tiene las condiciones necesarias para usar el módulo Pagos, solicitudes, cupos y acceso</x:v>
      </x:c>
      <x:c r="F91" s="30" t="str">
        <x:v>Cuando ejecuta la funcionalidad de activación automática de cliente y accesos</x:v>
      </x:c>
      <x:c r="G91" s="30" t="str">
        <x:v>Entonces el sistema debe completar la operación, guardar la información en user, user_roles, clientes, planes_cliente, acceso_cliente_modulo, plan_modulos y mostrar una confirmación clara.</x:v>
      </x:c>
      <x:c r="H91" s="28"/>
      <x:c r="I91" s="28"/>
      <x:c r="J91" s="28"/>
    </x:row>
    <x:row r="92" ht="68" customHeight="1">
      <x:c r="A92" s="30" t="str">
        <x:v>HU-PAG-030</x:v>
      </x:c>
      <x:c r="B92" s="30" t="str">
        <x:v>RF-030</x:v>
      </x:c>
      <x:c r="C92" s="30" t="n">
        <x:v>2</x:v>
      </x:c>
      <x:c r="D92" s="30" t="str">
        <x:v>Validaciones de Activación automática de cliente y accesos</x:v>
      </x:c>
      <x:c r="E92" s="30" t="str">
        <x:v>Dado que existen reglas de negocio, permisos y datos obligatorios asociados al proceso</x:v>
      </x:c>
      <x:c r="F92" s="30" t="str">
        <x:v>Cuando el actor intenta realizar activación automática de cliente y accesos con datos incompletos, inválidos o sin autorización</x:v>
      </x:c>
      <x:c r="G92" s="30" t="str">
        <x:v>Entonces el sistema debe bloquear la operación, explicar el motivo y conservar el estado anterior sin generar inconsistencias.</x:v>
      </x:c>
      <x:c r="H92" s="28"/>
      <x:c r="I92" s="28"/>
      <x:c r="J92" s="28"/>
    </x:row>
    <x:row r="93" ht="68" customHeight="1">
      <x:c r="A93" s="30" t="str">
        <x:v>HU-PAG-030</x:v>
      </x:c>
      <x:c r="B93" s="30" t="str">
        <x:v>RF-030</x:v>
      </x:c>
      <x:c r="C93" s="30" t="n">
        <x:v>3</x:v>
      </x:c>
      <x:c r="D93" s="30" t="str">
        <x:v>Trazabilidad de Activación automática de cliente y accesos</x:v>
      </x:c>
      <x:c r="E93" s="30" t="str">
        <x:v>Dado que la operación de activación automática de cliente y accesos finaliza correctamente o queda rechazada por una regla</x:v>
      </x:c>
      <x:c r="F93" s="30" t="str">
        <x:v>Cuando el sistema actualiza el resultado del proceso</x:v>
      </x:c>
      <x:c r="G93" s="30" t="str">
        <x:v>Entonces debe quedar trazabilidad disponible para consulta administrativa, auditoría funcional, notificaciones o reportes relacionados.</x:v>
      </x:c>
      <x:c r="H93" s="28"/>
      <x:c r="I93" s="28"/>
      <x:c r="J93" s="28"/>
    </x:row>
    <x:row r="94" ht="68" customHeight="1">
      <x:c r="A94" s="30" t="str">
        <x:v>HU-PAG-031</x:v>
      </x:c>
      <x:c r="B94" s="30" t="str">
        <x:v>RF-031</x:v>
      </x:c>
      <x:c r="C94" s="30" t="n">
        <x:v>1</x:v>
      </x:c>
      <x:c r="D94" s="30" t="str">
        <x:v>Restricción de acceso a módulos sin plan vigente ejecutado correctamente</x:v>
      </x:c>
      <x:c r="E94" s="30" t="str">
        <x:v>Dado que el actor Sistema tiene las condiciones necesarias para usar el módulo Pagos, solicitudes, cupos y acceso</x:v>
      </x:c>
      <x:c r="F94" s="30" t="str">
        <x:v>Cuando ejecuta la funcionalidad de restricción de acceso a módulos sin plan vigente</x:v>
      </x:c>
      <x:c r="G94" s="30" t="str">
        <x:v>Entonces el sistema debe completar la operación, guardar la información en acceso_cliente_modulo, planes_cliente, pagos y mostrar una confirmación clara.</x:v>
      </x:c>
      <x:c r="H94" s="28"/>
      <x:c r="I94" s="28"/>
      <x:c r="J94" s="28"/>
    </x:row>
    <x:row r="95" ht="68" customHeight="1">
      <x:c r="A95" s="30" t="str">
        <x:v>HU-PAG-031</x:v>
      </x:c>
      <x:c r="B95" s="30" t="str">
        <x:v>RF-031</x:v>
      </x:c>
      <x:c r="C95" s="30" t="n">
        <x:v>2</x:v>
      </x:c>
      <x:c r="D95" s="30" t="str">
        <x:v>Validaciones de Restricción de acceso a módulos sin plan vigente</x:v>
      </x:c>
      <x:c r="E95" s="30" t="str">
        <x:v>Dado que existen reglas de negocio, permisos y datos obligatorios asociados al proceso</x:v>
      </x:c>
      <x:c r="F95" s="30" t="str">
        <x:v>Cuando el actor intenta realizar restricción de acceso a módulos sin plan vigente con datos incompletos, inválidos o sin autorización</x:v>
      </x:c>
      <x:c r="G95" s="30" t="str">
        <x:v>Entonces el sistema debe bloquear la operación, explicar el motivo y conservar el estado anterior sin generar inconsistencias.</x:v>
      </x:c>
      <x:c r="H95" s="28"/>
      <x:c r="I95" s="28"/>
      <x:c r="J95" s="28"/>
    </x:row>
    <x:row r="96" ht="68" customHeight="1">
      <x:c r="A96" s="30" t="str">
        <x:v>HU-PAG-031</x:v>
      </x:c>
      <x:c r="B96" s="30" t="str">
        <x:v>RF-031</x:v>
      </x:c>
      <x:c r="C96" s="30" t="n">
        <x:v>3</x:v>
      </x:c>
      <x:c r="D96" s="30" t="str">
        <x:v>Trazabilidad de Restricción de acceso a módulos sin plan vigente</x:v>
      </x:c>
      <x:c r="E96" s="30" t="str">
        <x:v>Dado que la operación de restricción de acceso a módulos sin plan vigente finaliza correctamente o queda rechazada por una regla</x:v>
      </x:c>
      <x:c r="F96" s="30" t="str">
        <x:v>Cuando el sistema actualiza el resultado del proceso</x:v>
      </x:c>
      <x:c r="G96" s="30" t="str">
        <x:v>Entonces debe quedar trazabilidad disponible para consulta administrativa, auditoría funcional, notificaciones o reportes relacionados.</x:v>
      </x:c>
      <x:c r="H96" s="28"/>
      <x:c r="I96" s="28"/>
      <x:c r="J96" s="28"/>
    </x:row>
    <x:row r="97" ht="68" customHeight="1">
      <x:c r="A97" s="30" t="str">
        <x:v>HU-PAG-032</x:v>
      </x:c>
      <x:c r="B97" s="30" t="str">
        <x:v>RF-032</x:v>
      </x:c>
      <x:c r="C97" s="30" t="n">
        <x:v>1</x:v>
      </x:c>
      <x:c r="D97" s="30" t="str">
        <x:v>Historial de pagos ejecutado correctamente</x:v>
      </x:c>
      <x:c r="E97" s="30" t="str">
        <x:v>Dado que el actor Cliente tiene las condiciones necesarias para usar el módulo Pagos, solicitudes, cupos y acceso</x:v>
      </x:c>
      <x:c r="F97" s="30" t="str">
        <x:v>Cuando ejecuta la funcionalidad de historial de pagos</x:v>
      </x:c>
      <x:c r="G97" s="30" t="str">
        <x:v>Entonces el sistema debe completar la operación, guardar la información en pagos, solicitudes_compra, planes_cliente y mostrar una confirmación clara.</x:v>
      </x:c>
      <x:c r="H97" s="28"/>
      <x:c r="I97" s="28"/>
      <x:c r="J97" s="28"/>
    </x:row>
    <x:row r="98" ht="68" customHeight="1">
      <x:c r="A98" s="30" t="str">
        <x:v>HU-PAG-032</x:v>
      </x:c>
      <x:c r="B98" s="30" t="str">
        <x:v>RF-032</x:v>
      </x:c>
      <x:c r="C98" s="30" t="n">
        <x:v>2</x:v>
      </x:c>
      <x:c r="D98" s="30" t="str">
        <x:v>Validaciones de Historial de pagos</x:v>
      </x:c>
      <x:c r="E98" s="30" t="str">
        <x:v>Dado que existen reglas de negocio, permisos y datos obligatorios asociados al proceso</x:v>
      </x:c>
      <x:c r="F98" s="30" t="str">
        <x:v>Cuando el actor intenta realizar historial de pagos con datos incompletos, inválidos o sin autorización</x:v>
      </x:c>
      <x:c r="G98" s="30" t="str">
        <x:v>Entonces el sistema debe bloquear la operación, explicar el motivo y conservar el estado anterior sin generar inconsistencias.</x:v>
      </x:c>
      <x:c r="H98" s="28"/>
      <x:c r="I98" s="28"/>
      <x:c r="J98" s="28"/>
    </x:row>
    <x:row r="99" ht="68" customHeight="1">
      <x:c r="A99" s="30" t="str">
        <x:v>HU-PAG-032</x:v>
      </x:c>
      <x:c r="B99" s="30" t="str">
        <x:v>RF-032</x:v>
      </x:c>
      <x:c r="C99" s="30" t="n">
        <x:v>3</x:v>
      </x:c>
      <x:c r="D99" s="30" t="str">
        <x:v>Trazabilidad de Historial de pagos</x:v>
      </x:c>
      <x:c r="E99" s="30" t="str">
        <x:v>Dado que la operación de historial de pagos finaliza correctamente o queda rechazada por una regla</x:v>
      </x:c>
      <x:c r="F99" s="30" t="str">
        <x:v>Cuando el sistema actualiza el resultado del proceso</x:v>
      </x:c>
      <x:c r="G99" s="30" t="str">
        <x:v>Entonces debe quedar trazabilidad disponible para consulta administrativa, auditoría funcional, notificaciones o reportes relacionados.</x:v>
      </x:c>
      <x:c r="H99" s="28"/>
      <x:c r="I99" s="28"/>
      <x:c r="J99" s="28"/>
    </x:row>
    <x:row r="100" ht="68" customHeight="1">
      <x:c r="A100" s="30" t="str">
        <x:v>HU-PAG-033</x:v>
      </x:c>
      <x:c r="B100" s="30" t="str">
        <x:v>RF-033</x:v>
      </x:c>
      <x:c r="C100" s="30" t="n">
        <x:v>1</x:v>
      </x:c>
      <x:c r="D100" s="30" t="str">
        <x:v>Vencimiento de planes ejecutado correctamente</x:v>
      </x:c>
      <x:c r="E100" s="30" t="str">
        <x:v>Dado que el actor Sistema tiene las condiciones necesarias para usar el módulo Pagos, solicitudes, cupos y acceso</x:v>
      </x:c>
      <x:c r="F100" s="30" t="str">
        <x:v>Cuando ejecuta la funcionalidad de vencimiento de planes</x:v>
      </x:c>
      <x:c r="G100" s="30" t="str">
        <x:v>Entonces el sistema debe completar la operación, guardar la información en planes_cliente, acceso_cliente_modulo, notificaciones y mostrar una confirmación clara.</x:v>
      </x:c>
      <x:c r="H100" s="28"/>
      <x:c r="I100" s="28"/>
      <x:c r="J100" s="28"/>
    </x:row>
    <x:row r="101" ht="68" customHeight="1">
      <x:c r="A101" s="30" t="str">
        <x:v>HU-PAG-033</x:v>
      </x:c>
      <x:c r="B101" s="30" t="str">
        <x:v>RF-033</x:v>
      </x:c>
      <x:c r="C101" s="30" t="n">
        <x:v>2</x:v>
      </x:c>
      <x:c r="D101" s="30" t="str">
        <x:v>Validaciones de Vencimiento de planes</x:v>
      </x:c>
      <x:c r="E101" s="30" t="str">
        <x:v>Dado que existen reglas de negocio, permisos y datos obligatorios asociados al proceso</x:v>
      </x:c>
      <x:c r="F101" s="30" t="str">
        <x:v>Cuando el actor intenta realizar vencimiento de planes con datos incompletos, inválidos o sin autorización</x:v>
      </x:c>
      <x:c r="G101" s="30" t="str">
        <x:v>Entonces el sistema debe bloquear la operación, explicar el motivo y conservar el estado anterior sin generar inconsistencias.</x:v>
      </x:c>
      <x:c r="H101" s="28"/>
      <x:c r="I101" s="28"/>
      <x:c r="J101" s="28"/>
    </x:row>
    <x:row r="102" ht="68" customHeight="1">
      <x:c r="A102" s="30" t="str">
        <x:v>HU-PAG-033</x:v>
      </x:c>
      <x:c r="B102" s="30" t="str">
        <x:v>RF-033</x:v>
      </x:c>
      <x:c r="C102" s="30" t="n">
        <x:v>3</x:v>
      </x:c>
      <x:c r="D102" s="30" t="str">
        <x:v>Trazabilidad de Vencimiento de planes</x:v>
      </x:c>
      <x:c r="E102" s="30" t="str">
        <x:v>Dado que la operación de vencimiento de planes finaliza correctamente o queda rechazada por una regla</x:v>
      </x:c>
      <x:c r="F102" s="30" t="str">
        <x:v>Cuando el sistema actualiza el resultado del proceso</x:v>
      </x:c>
      <x:c r="G102" s="30" t="str">
        <x:v>Entonces debe quedar trazabilidad disponible para consulta administrativa, auditoría funcional, notificaciones o reportes relacionados.</x:v>
      </x:c>
      <x:c r="H102" s="28"/>
      <x:c r="I102" s="28"/>
      <x:c r="J102" s="28"/>
    </x:row>
    <x:row r="103" ht="68" customHeight="1">
      <x:c r="A103" s="30" t="str">
        <x:v>HU-PAG-034</x:v>
      </x:c>
      <x:c r="B103" s="30" t="str">
        <x:v>RF-034</x:v>
      </x:c>
      <x:c r="C103" s="30" t="n">
        <x:v>1</x:v>
      </x:c>
      <x:c r="D103" s="30" t="str">
        <x:v>Gestión de catálogo de planes comerciales con cupos ejecutado correctamente</x:v>
      </x:c>
      <x:c r="E103" s="30" t="str">
        <x:v>Dado que el actor Administrador tiene las condiciones necesarias para usar el módulo Pagos, solicitudes, cupos y acceso</x:v>
      </x:c>
      <x:c r="F103" s="30" t="str">
        <x:v>Cuando ejecuta la funcionalidad de gestión de catálogo de planes comerciales con cupos</x:v>
      </x:c>
      <x:c r="G103" s="30" t="str">
        <x:v>Entonces el sistema debe completar la operación, guardar la información en planes, modulos_servicio, plan_modulos, vw_cupos_planes y mostrar una confirmación clara.</x:v>
      </x:c>
      <x:c r="H103" s="28"/>
      <x:c r="I103" s="28"/>
      <x:c r="J103" s="28"/>
    </x:row>
    <x:row r="104" ht="68" customHeight="1">
      <x:c r="A104" s="30" t="str">
        <x:v>HU-PAG-034</x:v>
      </x:c>
      <x:c r="B104" s="30" t="str">
        <x:v>RF-034</x:v>
      </x:c>
      <x:c r="C104" s="30" t="n">
        <x:v>2</x:v>
      </x:c>
      <x:c r="D104" s="30" t="str">
        <x:v>Validaciones de Gestión de catálogo de planes comerciales con cupos</x:v>
      </x:c>
      <x:c r="E104" s="30" t="str">
        <x:v>Dado que existen reglas de negocio, permisos y datos obligatorios asociados al proceso</x:v>
      </x:c>
      <x:c r="F104" s="30" t="str">
        <x:v>Cuando el actor intenta realizar gestión de catálogo de planes comerciales con cupos con datos incompletos, inválidos o sin autorización</x:v>
      </x:c>
      <x:c r="G104" s="30" t="str">
        <x:v>Entonces el sistema debe bloquear la operación, explicar el motivo y conservar el estado anterior sin generar inconsistencias.</x:v>
      </x:c>
      <x:c r="H104" s="28"/>
      <x:c r="I104" s="28"/>
      <x:c r="J104" s="28"/>
    </x:row>
    <x:row r="105" ht="68" customHeight="1">
      <x:c r="A105" s="30" t="str">
        <x:v>HU-PAG-034</x:v>
      </x:c>
      <x:c r="B105" s="30" t="str">
        <x:v>RF-034</x:v>
      </x:c>
      <x:c r="C105" s="30" t="n">
        <x:v>3</x:v>
      </x:c>
      <x:c r="D105" s="30" t="str">
        <x:v>Trazabilidad de Gestión de catálogo de planes comerciales con cupos</x:v>
      </x:c>
      <x:c r="E105" s="30" t="str">
        <x:v>Dado que la operación de gestión de catálogo de planes comerciales con cupos finaliza correctamente o queda rechazada por una regla</x:v>
      </x:c>
      <x:c r="F105" s="30" t="str">
        <x:v>Cuando el sistema actualiza el resultado del proceso</x:v>
      </x:c>
      <x:c r="G105" s="30" t="str">
        <x:v>Entonces debe quedar trazabilidad disponible para consulta administrativa, auditoría funcional, notificaciones o reportes relacionados.</x:v>
      </x:c>
      <x:c r="H105" s="28"/>
      <x:c r="I105" s="28"/>
      <x:c r="J105" s="28"/>
    </x:row>
    <x:row r="106" ht="68" customHeight="1">
      <x:c r="A106" s="30" t="str">
        <x:v>HU-PAG-035</x:v>
      </x:c>
      <x:c r="B106" s="30" t="str">
        <x:v>RF-035</x:v>
      </x:c>
      <x:c r="C106" s="30" t="n">
        <x:v>1</x:v>
      </x:c>
      <x:c r="D106" s="30" t="str">
        <x:v>Consulta del estado de acceso a módulos adquiridos ejecutado correctamente</x:v>
      </x:c>
      <x:c r="E106" s="30" t="str">
        <x:v>Dado que el actor Cliente tiene las condiciones necesarias para usar el módulo Pagos, solicitudes, cupos y acceso</x:v>
      </x:c>
      <x:c r="F106" s="30" t="str">
        <x:v>Cuando ejecuta la funcionalidad de consulta del estado de acceso a módulos adquiridos</x:v>
      </x:c>
      <x:c r="G106" s="30" t="str">
        <x:v>Entonces el sistema debe completar la operación, guardar la información en acceso_cliente_modulo, planes_cliente, modulos_servicio y mostrar una confirmación clara.</x:v>
      </x:c>
      <x:c r="H106" s="28"/>
      <x:c r="I106" s="28"/>
      <x:c r="J106" s="28"/>
    </x:row>
    <x:row r="107" ht="68" customHeight="1">
      <x:c r="A107" s="30" t="str">
        <x:v>HU-PAG-035</x:v>
      </x:c>
      <x:c r="B107" s="30" t="str">
        <x:v>RF-035</x:v>
      </x:c>
      <x:c r="C107" s="30" t="n">
        <x:v>2</x:v>
      </x:c>
      <x:c r="D107" s="30" t="str">
        <x:v>Validaciones de Consulta del estado de acceso a módulos adquiridos</x:v>
      </x:c>
      <x:c r="E107" s="30" t="str">
        <x:v>Dado que existen reglas de negocio, permisos y datos obligatorios asociados al proceso</x:v>
      </x:c>
      <x:c r="F107" s="30" t="str">
        <x:v>Cuando el actor intenta realizar consulta del estado de acceso a módulos adquiridos con datos incompletos, inválidos o sin autorización</x:v>
      </x:c>
      <x:c r="G107" s="30" t="str">
        <x:v>Entonces el sistema debe bloquear la operación, explicar el motivo y conservar el estado anterior sin generar inconsistencias.</x:v>
      </x:c>
      <x:c r="H107" s="28"/>
      <x:c r="I107" s="28"/>
      <x:c r="J107" s="28"/>
    </x:row>
    <x:row r="108" ht="68" customHeight="1">
      <x:c r="A108" s="30" t="str">
        <x:v>HU-PAG-035</x:v>
      </x:c>
      <x:c r="B108" s="30" t="str">
        <x:v>RF-035</x:v>
      </x:c>
      <x:c r="C108" s="30" t="n">
        <x:v>3</x:v>
      </x:c>
      <x:c r="D108" s="30" t="str">
        <x:v>Trazabilidad de Consulta del estado de acceso a módulos adquiridos</x:v>
      </x:c>
      <x:c r="E108" s="30" t="str">
        <x:v>Dado que la operación de consulta del estado de acceso a módulos adquiridos finaliza correctamente o queda rechazada por una regla</x:v>
      </x:c>
      <x:c r="F108" s="30" t="str">
        <x:v>Cuando el sistema actualiza el resultado del proceso</x:v>
      </x:c>
      <x:c r="G108" s="30" t="str">
        <x:v>Entonces debe quedar trazabilidad disponible para consulta administrativa, auditoría funcional, notificaciones o reportes relacionados.</x:v>
      </x:c>
      <x:c r="H108" s="28"/>
      <x:c r="I108" s="28"/>
      <x:c r="J108" s="28"/>
    </x:row>
    <x:row r="109" ht="68" customHeight="1">
      <x:c r="A109" s="30" t="str">
        <x:v>HU-COM-036</x:v>
      </x:c>
      <x:c r="B109" s="30" t="str">
        <x:v>RF-036</x:v>
      </x:c>
      <x:c r="C109" s="30" t="n">
        <x:v>1</x:v>
      </x:c>
      <x:c r="D109" s="30" t="str">
        <x:v>Chat interno cliente-coach ejecutado correctamente</x:v>
      </x:c>
      <x:c r="E109" s="30" t="str">
        <x:v>Dado que el actor Cliente / Coach tiene las condiciones necesarias para usar el módulo Comunicación y notificaciones</x:v>
      </x:c>
      <x:c r="F109" s="30" t="str">
        <x:v>Cuando ejecuta la funcionalidad de chat interno cliente-coach</x:v>
      </x:c>
      <x:c r="G109" s="30" t="str">
        <x:v>Entonces el sistema debe completar la operación, guardar la información en chats, mensajes y mostrar una confirmación clara.</x:v>
      </x:c>
      <x:c r="H109" s="28"/>
      <x:c r="I109" s="28"/>
      <x:c r="J109" s="28"/>
    </x:row>
    <x:row r="110" ht="68" customHeight="1">
      <x:c r="A110" s="30" t="str">
        <x:v>HU-COM-036</x:v>
      </x:c>
      <x:c r="B110" s="30" t="str">
        <x:v>RF-036</x:v>
      </x:c>
      <x:c r="C110" s="30" t="n">
        <x:v>2</x:v>
      </x:c>
      <x:c r="D110" s="30" t="str">
        <x:v>Validaciones de Chat interno cliente-coach</x:v>
      </x:c>
      <x:c r="E110" s="30" t="str">
        <x:v>Dado que existen reglas de negocio, permisos y datos obligatorios asociados al proceso</x:v>
      </x:c>
      <x:c r="F110" s="30" t="str">
        <x:v>Cuando el actor intenta realizar chat interno cliente-coach con datos incompletos, inválidos o sin autorización</x:v>
      </x:c>
      <x:c r="G110" s="30" t="str">
        <x:v>Entonces el sistema debe bloquear la operación, explicar el motivo y conservar el estado anterior sin generar inconsistencias.</x:v>
      </x:c>
      <x:c r="H110" s="28"/>
      <x:c r="I110" s="28"/>
      <x:c r="J110" s="28"/>
    </x:row>
    <x:row r="111" ht="68" customHeight="1">
      <x:c r="A111" s="30" t="str">
        <x:v>HU-COM-036</x:v>
      </x:c>
      <x:c r="B111" s="30" t="str">
        <x:v>RF-036</x:v>
      </x:c>
      <x:c r="C111" s="30" t="n">
        <x:v>3</x:v>
      </x:c>
      <x:c r="D111" s="30" t="str">
        <x:v>Trazabilidad de Chat interno cliente-coach</x:v>
      </x:c>
      <x:c r="E111" s="30" t="str">
        <x:v>Dado que la operación de chat interno cliente-coach finaliza correctamente o queda rechazada por una regla</x:v>
      </x:c>
      <x:c r="F111" s="30" t="str">
        <x:v>Cuando el sistema actualiza el resultado del proceso</x:v>
      </x:c>
      <x:c r="G111" s="30" t="str">
        <x:v>Entonces debe quedar trazabilidad disponible para consulta administrativa, auditoría funcional, notificaciones o reportes relacionados.</x:v>
      </x:c>
      <x:c r="H111" s="28"/>
      <x:c r="I111" s="28"/>
      <x:c r="J111" s="28"/>
    </x:row>
    <x:row r="112" ht="68" customHeight="1">
      <x:c r="A112" s="30" t="str">
        <x:v>HU-COM-037</x:v>
      </x:c>
      <x:c r="B112" s="30" t="str">
        <x:v>RF-037</x:v>
      </x:c>
      <x:c r="C112" s="30" t="n">
        <x:v>1</x:v>
      </x:c>
      <x:c r="D112" s="30" t="str">
        <x:v>Mensajes grupales por difusión ejecutado correctamente</x:v>
      </x:c>
      <x:c r="E112" s="30" t="str">
        <x:v>Dado que el actor Coach / Administrador tiene las condiciones necesarias para usar el módulo Comunicación y notificaciones</x:v>
      </x:c>
      <x:c r="F112" s="30" t="str">
        <x:v>Cuando ejecuta la funcionalidad de mensajes grupales por difusión</x:v>
      </x:c>
      <x:c r="G112" s="30" t="str">
        <x:v>Entonces el sistema debe completar la operación, guardar la información en notificaciones, clientes, instituciones y mostrar una confirmación clara.</x:v>
      </x:c>
      <x:c r="H112" s="28"/>
      <x:c r="I112" s="28"/>
      <x:c r="J112" s="28"/>
    </x:row>
    <x:row r="113" ht="68" customHeight="1">
      <x:c r="A113" s="30" t="str">
        <x:v>HU-COM-037</x:v>
      </x:c>
      <x:c r="B113" s="30" t="str">
        <x:v>RF-037</x:v>
      </x:c>
      <x:c r="C113" s="30" t="n">
        <x:v>2</x:v>
      </x:c>
      <x:c r="D113" s="30" t="str">
        <x:v>Validaciones de Mensajes grupales por difusión</x:v>
      </x:c>
      <x:c r="E113" s="30" t="str">
        <x:v>Dado que existen reglas de negocio, permisos y datos obligatorios asociados al proceso</x:v>
      </x:c>
      <x:c r="F113" s="30" t="str">
        <x:v>Cuando el actor intenta realizar mensajes grupales por difusión con datos incompletos, inválidos o sin autorización</x:v>
      </x:c>
      <x:c r="G113" s="30" t="str">
        <x:v>Entonces el sistema debe bloquear la operación, explicar el motivo y conservar el estado anterior sin generar inconsistencias.</x:v>
      </x:c>
      <x:c r="H113" s="28"/>
      <x:c r="I113" s="28"/>
      <x:c r="J113" s="28"/>
    </x:row>
    <x:row r="114" ht="68" customHeight="1">
      <x:c r="A114" s="30" t="str">
        <x:v>HU-COM-037</x:v>
      </x:c>
      <x:c r="B114" s="30" t="str">
        <x:v>RF-037</x:v>
      </x:c>
      <x:c r="C114" s="30" t="n">
        <x:v>3</x:v>
      </x:c>
      <x:c r="D114" s="30" t="str">
        <x:v>Trazabilidad de Mensajes grupales por difusión</x:v>
      </x:c>
      <x:c r="E114" s="30" t="str">
        <x:v>Dado que la operación de mensajes grupales por difusión finaliza correctamente o queda rechazada por una regla</x:v>
      </x:c>
      <x:c r="F114" s="30" t="str">
        <x:v>Cuando el sistema actualiza el resultado del proceso</x:v>
      </x:c>
      <x:c r="G114" s="30" t="str">
        <x:v>Entonces debe quedar trazabilidad disponible para consulta administrativa, auditoría funcional, notificaciones o reportes relacionados.</x:v>
      </x:c>
      <x:c r="H114" s="28"/>
      <x:c r="I114" s="28"/>
      <x:c r="J114" s="28"/>
    </x:row>
    <x:row r="115" ht="68" customHeight="1">
      <x:c r="A115" s="30" t="str">
        <x:v>HU-COM-038</x:v>
      </x:c>
      <x:c r="B115" s="30" t="str">
        <x:v>RF-038</x:v>
      </x:c>
      <x:c r="C115" s="30" t="n">
        <x:v>1</x:v>
      </x:c>
      <x:c r="D115" s="30" t="str">
        <x:v>Mensajes motivacionales automáticos ejecutado correctamente</x:v>
      </x:c>
      <x:c r="E115" s="30" t="str">
        <x:v>Dado que el actor Sistema tiene las condiciones necesarias para usar el módulo Comunicación y notificaciones</x:v>
      </x:c>
      <x:c r="F115" s="30" t="str">
        <x:v>Cuando ejecuta la funcionalidad de mensajes motivacionales automáticos</x:v>
      </x:c>
      <x:c r="G115" s="30" t="str">
        <x:v>Entonces el sistema debe completar la operación, guardar la información en notificaciones y mostrar una confirmación clara.</x:v>
      </x:c>
      <x:c r="H115" s="28"/>
      <x:c r="I115" s="28"/>
      <x:c r="J115" s="28"/>
    </x:row>
    <x:row r="116" ht="68" customHeight="1">
      <x:c r="A116" s="30" t="str">
        <x:v>HU-COM-038</x:v>
      </x:c>
      <x:c r="B116" s="30" t="str">
        <x:v>RF-038</x:v>
      </x:c>
      <x:c r="C116" s="30" t="n">
        <x:v>2</x:v>
      </x:c>
      <x:c r="D116" s="30" t="str">
        <x:v>Validaciones de Mensajes motivacionales automáticos</x:v>
      </x:c>
      <x:c r="E116" s="30" t="str">
        <x:v>Dado que existen reglas de negocio, permisos y datos obligatorios asociados al proceso</x:v>
      </x:c>
      <x:c r="F116" s="30" t="str">
        <x:v>Cuando el actor intenta realizar mensajes motivacionales automáticos con datos incompletos, inválidos o sin autorización</x:v>
      </x:c>
      <x:c r="G116" s="30" t="str">
        <x:v>Entonces el sistema debe bloquear la operación, explicar el motivo y conservar el estado anterior sin generar inconsistencias.</x:v>
      </x:c>
      <x:c r="H116" s="28"/>
      <x:c r="I116" s="28"/>
      <x:c r="J116" s="28"/>
    </x:row>
    <x:row r="117" ht="68" customHeight="1">
      <x:c r="A117" s="30" t="str">
        <x:v>HU-COM-038</x:v>
      </x:c>
      <x:c r="B117" s="30" t="str">
        <x:v>RF-038</x:v>
      </x:c>
      <x:c r="C117" s="30" t="n">
        <x:v>3</x:v>
      </x:c>
      <x:c r="D117" s="30" t="str">
        <x:v>Trazabilidad de Mensajes motivacionales automáticos</x:v>
      </x:c>
      <x:c r="E117" s="30" t="str">
        <x:v>Dado que la operación de mensajes motivacionales automáticos finaliza correctamente o queda rechazada por una regla</x:v>
      </x:c>
      <x:c r="F117" s="30" t="str">
        <x:v>Cuando el sistema actualiza el resultado del proceso</x:v>
      </x:c>
      <x:c r="G117" s="30" t="str">
        <x:v>Entonces debe quedar trazabilidad disponible para consulta administrativa, auditoría funcional, notificaciones o reportes relacionados.</x:v>
      </x:c>
      <x:c r="H117" s="28"/>
      <x:c r="I117" s="28"/>
      <x:c r="J117" s="28"/>
    </x:row>
    <x:row r="118" ht="68" customHeight="1">
      <x:c r="A118" s="30" t="str">
        <x:v>HU-COM-039</x:v>
      </x:c>
      <x:c r="B118" s="30" t="str">
        <x:v>RF-039</x:v>
      </x:c>
      <x:c r="C118" s="30" t="n">
        <x:v>1</x:v>
      </x:c>
      <x:c r="D118" s="30" t="str">
        <x:v>Notificaciones del sistema ejecutado correctamente</x:v>
      </x:c>
      <x:c r="E118" s="30" t="str">
        <x:v>Dado que el actor Sistema tiene las condiciones necesarias para usar el módulo Comunicación y notificaciones</x:v>
      </x:c>
      <x:c r="F118" s="30" t="str">
        <x:v>Cuando ejecuta la funcionalidad de notificaciones del sistema</x:v>
      </x:c>
      <x:c r="G118" s="30" t="str">
        <x:v>Entonces el sistema debe completar la operación, guardar la información en notificaciones y mostrar una confirmación clara.</x:v>
      </x:c>
      <x:c r="H118" s="28"/>
      <x:c r="I118" s="28"/>
      <x:c r="J118" s="28"/>
    </x:row>
    <x:row r="119" ht="68" customHeight="1">
      <x:c r="A119" s="30" t="str">
        <x:v>HU-COM-039</x:v>
      </x:c>
      <x:c r="B119" s="30" t="str">
        <x:v>RF-039</x:v>
      </x:c>
      <x:c r="C119" s="30" t="n">
        <x:v>2</x:v>
      </x:c>
      <x:c r="D119" s="30" t="str">
        <x:v>Validaciones de Notificaciones del sistema</x:v>
      </x:c>
      <x:c r="E119" s="30" t="str">
        <x:v>Dado que existen reglas de negocio, permisos y datos obligatorios asociados al proceso</x:v>
      </x:c>
      <x:c r="F119" s="30" t="str">
        <x:v>Cuando el actor intenta realizar notificaciones del sistema con datos incompletos, inválidos o sin autorización</x:v>
      </x:c>
      <x:c r="G119" s="30" t="str">
        <x:v>Entonces el sistema debe bloquear la operación, explicar el motivo y conservar el estado anterior sin generar inconsistencias.</x:v>
      </x:c>
      <x:c r="H119" s="28"/>
      <x:c r="I119" s="28"/>
      <x:c r="J119" s="28"/>
    </x:row>
    <x:row r="120" ht="68" customHeight="1">
      <x:c r="A120" s="30" t="str">
        <x:v>HU-COM-039</x:v>
      </x:c>
      <x:c r="B120" s="30" t="str">
        <x:v>RF-039</x:v>
      </x:c>
      <x:c r="C120" s="30" t="n">
        <x:v>3</x:v>
      </x:c>
      <x:c r="D120" s="30" t="str">
        <x:v>Trazabilidad de Notificaciones del sistema</x:v>
      </x:c>
      <x:c r="E120" s="30" t="str">
        <x:v>Dado que la operación de notificaciones del sistema finaliza correctamente o queda rechazada por una regla</x:v>
      </x:c>
      <x:c r="F120" s="30" t="str">
        <x:v>Cuando el sistema actualiza el resultado del proceso</x:v>
      </x:c>
      <x:c r="G120" s="30" t="str">
        <x:v>Entonces debe quedar trazabilidad disponible para consulta administrativa, auditoría funcional, notificaciones o reportes relacionados.</x:v>
      </x:c>
      <x:c r="H120" s="28"/>
      <x:c r="I120" s="28"/>
      <x:c r="J120" s="28"/>
    </x:row>
    <x:row r="121" ht="68" customHeight="1">
      <x:c r="A121" s="30" t="str">
        <x:v>HU-AGE-040</x:v>
      </x:c>
      <x:c r="B121" s="30" t="str">
        <x:v>RF-040</x:v>
      </x:c>
      <x:c r="C121" s="30" t="n">
        <x:v>1</x:v>
      </x:c>
      <x:c r="D121" s="30" t="str">
        <x:v>Agenda de entrenamientos del coach ejecutado correctamente</x:v>
      </x:c>
      <x:c r="E121" s="30" t="str">
        <x:v>Dado que el actor Coach tiene las condiciones necesarias para usar el módulo Agenda, sesiones y eventos</x:v>
      </x:c>
      <x:c r="F121" s="30" t="str">
        <x:v>Cuando ejecuta la funcionalidad de agenda de entrenamientos del coach</x:v>
      </x:c>
      <x:c r="G121" s="30" t="str">
        <x:v>Entonces el sistema debe completar la operación, guardar la información en sesiones, coaches y mostrar una confirmación clara.</x:v>
      </x:c>
      <x:c r="H121" s="28"/>
      <x:c r="I121" s="28"/>
      <x:c r="J121" s="28"/>
    </x:row>
    <x:row r="122" ht="68" customHeight="1">
      <x:c r="A122" s="30" t="str">
        <x:v>HU-AGE-040</x:v>
      </x:c>
      <x:c r="B122" s="30" t="str">
        <x:v>RF-040</x:v>
      </x:c>
      <x:c r="C122" s="30" t="n">
        <x:v>2</x:v>
      </x:c>
      <x:c r="D122" s="30" t="str">
        <x:v>Validaciones de Agenda de entrenamientos del coach</x:v>
      </x:c>
      <x:c r="E122" s="30" t="str">
        <x:v>Dado que existen reglas de negocio, permisos y datos obligatorios asociados al proceso</x:v>
      </x:c>
      <x:c r="F122" s="30" t="str">
        <x:v>Cuando el actor intenta realizar agenda de entrenamientos del coach con datos incompletos, inválidos o sin autorización</x:v>
      </x:c>
      <x:c r="G122" s="30" t="str">
        <x:v>Entonces el sistema debe bloquear la operación, explicar el motivo y conservar el estado anterior sin generar inconsistencias.</x:v>
      </x:c>
      <x:c r="H122" s="28"/>
      <x:c r="I122" s="28"/>
      <x:c r="J122" s="28"/>
    </x:row>
    <x:row r="123" ht="68" customHeight="1">
      <x:c r="A123" s="30" t="str">
        <x:v>HU-AGE-040</x:v>
      </x:c>
      <x:c r="B123" s="30" t="str">
        <x:v>RF-040</x:v>
      </x:c>
      <x:c r="C123" s="30" t="n">
        <x:v>3</x:v>
      </x:c>
      <x:c r="D123" s="30" t="str">
        <x:v>Trazabilidad de Agenda de entrenamientos del coach</x:v>
      </x:c>
      <x:c r="E123" s="30" t="str">
        <x:v>Dado que la operación de agenda de entrenamientos del coach finaliza correctamente o queda rechazada por una regla</x:v>
      </x:c>
      <x:c r="F123" s="30" t="str">
        <x:v>Cuando el sistema actualiza el resultado del proceso</x:v>
      </x:c>
      <x:c r="G123" s="30" t="str">
        <x:v>Entonces debe quedar trazabilidad disponible para consulta administrativa, auditoría funcional, notificaciones o reportes relacionados.</x:v>
      </x:c>
      <x:c r="H123" s="28"/>
      <x:c r="I123" s="28"/>
      <x:c r="J123" s="28"/>
    </x:row>
    <x:row r="124" ht="68" customHeight="1">
      <x:c r="A124" s="30" t="str">
        <x:v>HU-AGE-041</x:v>
      </x:c>
      <x:c r="B124" s="30" t="str">
        <x:v>RF-041</x:v>
      </x:c>
      <x:c r="C124" s="30" t="n">
        <x:v>1</x:v>
      </x:c>
      <x:c r="D124" s="30" t="str">
        <x:v>Calendario de actividades del cliente ejecutado correctamente</x:v>
      </x:c>
      <x:c r="E124" s="30" t="str">
        <x:v>Dado que el actor Cliente tiene las condiciones necesarias para usar el módulo Agenda, sesiones y eventos</x:v>
      </x:c>
      <x:c r="F124" s="30" t="str">
        <x:v>Cuando ejecuta la funcionalidad de calendario de actividades del cliente</x:v>
      </x:c>
      <x:c r="G124" s="30" t="str">
        <x:v>Entonces el sistema debe completar la operación, guardar la información en sesiones, sesion_participantes, eventos, evento_participantes y mostrar una confirmación clara.</x:v>
      </x:c>
      <x:c r="H124" s="28"/>
      <x:c r="I124" s="28"/>
      <x:c r="J124" s="28"/>
    </x:row>
    <x:row r="125" ht="68" customHeight="1">
      <x:c r="A125" s="30" t="str">
        <x:v>HU-AGE-041</x:v>
      </x:c>
      <x:c r="B125" s="30" t="str">
        <x:v>RF-041</x:v>
      </x:c>
      <x:c r="C125" s="30" t="n">
        <x:v>2</x:v>
      </x:c>
      <x:c r="D125" s="30" t="str">
        <x:v>Validaciones de Calendario de actividades del cliente</x:v>
      </x:c>
      <x:c r="E125" s="30" t="str">
        <x:v>Dado que existen reglas de negocio, permisos y datos obligatorios asociados al proceso</x:v>
      </x:c>
      <x:c r="F125" s="30" t="str">
        <x:v>Cuando el actor intenta realizar calendario de actividades del cliente con datos incompletos, inválidos o sin autorización</x:v>
      </x:c>
      <x:c r="G125" s="30" t="str">
        <x:v>Entonces el sistema debe bloquear la operación, explicar el motivo y conservar el estado anterior sin generar inconsistencias.</x:v>
      </x:c>
      <x:c r="H125" s="28"/>
      <x:c r="I125" s="28"/>
      <x:c r="J125" s="28"/>
    </x:row>
    <x:row r="126" ht="68" customHeight="1">
      <x:c r="A126" s="30" t="str">
        <x:v>HU-AGE-041</x:v>
      </x:c>
      <x:c r="B126" s="30" t="str">
        <x:v>RF-041</x:v>
      </x:c>
      <x:c r="C126" s="30" t="n">
        <x:v>3</x:v>
      </x:c>
      <x:c r="D126" s="30" t="str">
        <x:v>Trazabilidad de Calendario de actividades del cliente</x:v>
      </x:c>
      <x:c r="E126" s="30" t="str">
        <x:v>Dado que la operación de calendario de actividades del cliente finaliza correctamente o queda rechazada por una regla</x:v>
      </x:c>
      <x:c r="F126" s="30" t="str">
        <x:v>Cuando el sistema actualiza el resultado del proceso</x:v>
      </x:c>
      <x:c r="G126" s="30" t="str">
        <x:v>Entonces debe quedar trazabilidad disponible para consulta administrativa, auditoría funcional, notificaciones o reportes relacionados.</x:v>
      </x:c>
      <x:c r="H126" s="28"/>
      <x:c r="I126" s="28"/>
      <x:c r="J126" s="28"/>
    </x:row>
    <x:row r="127" ht="68" customHeight="1">
      <x:c r="A127" s="30" t="str">
        <x:v>HU-AGE-042</x:v>
      </x:c>
      <x:c r="B127" s="30" t="str">
        <x:v>RF-042</x:v>
      </x:c>
      <x:c r="C127" s="30" t="n">
        <x:v>1</x:v>
      </x:c>
      <x:c r="D127" s="30" t="str">
        <x:v>Recordatorios automáticos ejecutado correctamente</x:v>
      </x:c>
      <x:c r="E127" s="30" t="str">
        <x:v>Dado que el actor Sistema tiene las condiciones necesarias para usar el módulo Agenda, sesiones y eventos</x:v>
      </x:c>
      <x:c r="F127" s="30" t="str">
        <x:v>Cuando ejecuta la funcionalidad de recordatorios automáticos</x:v>
      </x:c>
      <x:c r="G127" s="30" t="str">
        <x:v>Entonces el sistema debe completar la operación, guardar la información en notificaciones, sesiones, eventos y mostrar una confirmación clara.</x:v>
      </x:c>
      <x:c r="H127" s="28"/>
      <x:c r="I127" s="28"/>
      <x:c r="J127" s="28"/>
    </x:row>
    <x:row r="128" ht="68" customHeight="1">
      <x:c r="A128" s="30" t="str">
        <x:v>HU-AGE-042</x:v>
      </x:c>
      <x:c r="B128" s="30" t="str">
        <x:v>RF-042</x:v>
      </x:c>
      <x:c r="C128" s="30" t="n">
        <x:v>2</x:v>
      </x:c>
      <x:c r="D128" s="30" t="str">
        <x:v>Validaciones de Recordatorios automáticos</x:v>
      </x:c>
      <x:c r="E128" s="30" t="str">
        <x:v>Dado que existen reglas de negocio, permisos y datos obligatorios asociados al proceso</x:v>
      </x:c>
      <x:c r="F128" s="30" t="str">
        <x:v>Cuando el actor intenta realizar recordatorios automáticos con datos incompletos, inválidos o sin autorización</x:v>
      </x:c>
      <x:c r="G128" s="30" t="str">
        <x:v>Entonces el sistema debe bloquear la operación, explicar el motivo y conservar el estado anterior sin generar inconsistencias.</x:v>
      </x:c>
      <x:c r="H128" s="28"/>
      <x:c r="I128" s="28"/>
      <x:c r="J128" s="28"/>
    </x:row>
    <x:row r="129" ht="68" customHeight="1">
      <x:c r="A129" s="30" t="str">
        <x:v>HU-AGE-042</x:v>
      </x:c>
      <x:c r="B129" s="30" t="str">
        <x:v>RF-042</x:v>
      </x:c>
      <x:c r="C129" s="30" t="n">
        <x:v>3</x:v>
      </x:c>
      <x:c r="D129" s="30" t="str">
        <x:v>Trazabilidad de Recordatorios automáticos</x:v>
      </x:c>
      <x:c r="E129" s="30" t="str">
        <x:v>Dado que la operación de recordatorios automáticos finaliza correctamente o queda rechazada por una regla</x:v>
      </x:c>
      <x:c r="F129" s="30" t="str">
        <x:v>Cuando el sistema actualiza el resultado del proceso</x:v>
      </x:c>
      <x:c r="G129" s="30" t="str">
        <x:v>Entonces debe quedar trazabilidad disponible para consulta administrativa, auditoría funcional, notificaciones o reportes relacionados.</x:v>
      </x:c>
      <x:c r="H129" s="28"/>
      <x:c r="I129" s="28"/>
      <x:c r="J129" s="28"/>
    </x:row>
    <x:row r="130" ht="68" customHeight="1">
      <x:c r="A130" s="30" t="str">
        <x:v>HU-AGE-043</x:v>
      </x:c>
      <x:c r="B130" s="30" t="str">
        <x:v>RF-043</x:v>
      </x:c>
      <x:c r="C130" s="30" t="n">
        <x:v>1</x:v>
      </x:c>
      <x:c r="D130" s="30" t="str">
        <x:v>Gestión de eventos y talleres ejecutado correctamente</x:v>
      </x:c>
      <x:c r="E130" s="30" t="str">
        <x:v>Dado que el actor Administrador / Coach tiene las condiciones necesarias para usar el módulo Agenda, sesiones y eventos</x:v>
      </x:c>
      <x:c r="F130" s="30" t="str">
        <x:v>Cuando ejecuta la funcionalidad de gestión de eventos y talleres</x:v>
      </x:c>
      <x:c r="G130" s="30" t="str">
        <x:v>Entonces el sistema debe completar la operación, guardar la información en eventos, evento_participantes y mostrar una confirmación clara.</x:v>
      </x:c>
      <x:c r="H130" s="28"/>
      <x:c r="I130" s="28"/>
      <x:c r="J130" s="28"/>
    </x:row>
    <x:row r="131" ht="68" customHeight="1">
      <x:c r="A131" s="30" t="str">
        <x:v>HU-AGE-043</x:v>
      </x:c>
      <x:c r="B131" s="30" t="str">
        <x:v>RF-043</x:v>
      </x:c>
      <x:c r="C131" s="30" t="n">
        <x:v>2</x:v>
      </x:c>
      <x:c r="D131" s="30" t="str">
        <x:v>Validaciones de Gestión de eventos y talleres</x:v>
      </x:c>
      <x:c r="E131" s="30" t="str">
        <x:v>Dado que existen reglas de negocio, permisos y datos obligatorios asociados al proceso</x:v>
      </x:c>
      <x:c r="F131" s="30" t="str">
        <x:v>Cuando el actor intenta realizar gestión de eventos y talleres con datos incompletos, inválidos o sin autorización</x:v>
      </x:c>
      <x:c r="G131" s="30" t="str">
        <x:v>Entonces el sistema debe bloquear la operación, explicar el motivo y conservar el estado anterior sin generar inconsistencias.</x:v>
      </x:c>
      <x:c r="H131" s="28"/>
      <x:c r="I131" s="28"/>
      <x:c r="J131" s="28"/>
    </x:row>
    <x:row r="132" ht="68" customHeight="1">
      <x:c r="A132" s="30" t="str">
        <x:v>HU-AGE-043</x:v>
      </x:c>
      <x:c r="B132" s="30" t="str">
        <x:v>RF-043</x:v>
      </x:c>
      <x:c r="C132" s="30" t="n">
        <x:v>3</x:v>
      </x:c>
      <x:c r="D132" s="30" t="str">
        <x:v>Trazabilidad de Gestión de eventos y talleres</x:v>
      </x:c>
      <x:c r="E132" s="30" t="str">
        <x:v>Dado que la operación de gestión de eventos y talleres finaliza correctamente o queda rechazada por una regla</x:v>
      </x:c>
      <x:c r="F132" s="30" t="str">
        <x:v>Cuando el sistema actualiza el resultado del proceso</x:v>
      </x:c>
      <x:c r="G132" s="30" t="str">
        <x:v>Entonces debe quedar trazabilidad disponible para consulta administrativa, auditoría funcional, notificaciones o reportes relacionados.</x:v>
      </x:c>
      <x:c r="H132" s="28"/>
      <x:c r="I132" s="28"/>
      <x:c r="J132" s="28"/>
    </x:row>
    <x:row r="133" ht="68" customHeight="1">
      <x:c r="A133" s="30" t="str">
        <x:v>HU-AGE-044</x:v>
      </x:c>
      <x:c r="B133" s="30" t="str">
        <x:v>RF-044</x:v>
      </x:c>
      <x:c r="C133" s="30" t="n">
        <x:v>1</x:v>
      </x:c>
      <x:c r="D133" s="30" t="str">
        <x:v>Gestión de participantes en sesiones y talleres grupales ejecutado correctamente</x:v>
      </x:c>
      <x:c r="E133" s="30" t="str">
        <x:v>Dado que el actor Coach / Administrador tiene las condiciones necesarias para usar el módulo Agenda, sesiones y eventos</x:v>
      </x:c>
      <x:c r="F133" s="30" t="str">
        <x:v>Cuando ejecuta la funcionalidad de gestión de participantes en sesiones y talleres grupales</x:v>
      </x:c>
      <x:c r="G133" s="30" t="str">
        <x:v>Entonces el sistema debe completar la operación, guardar la información en sesion_participantes, evento_participantes, sesiones, eventos y mostrar una confirmación clara.</x:v>
      </x:c>
      <x:c r="H133" s="28"/>
      <x:c r="I133" s="28"/>
      <x:c r="J133" s="28"/>
    </x:row>
    <x:row r="134" ht="68" customHeight="1">
      <x:c r="A134" s="30" t="str">
        <x:v>HU-AGE-044</x:v>
      </x:c>
      <x:c r="B134" s="30" t="str">
        <x:v>RF-044</x:v>
      </x:c>
      <x:c r="C134" s="30" t="n">
        <x:v>2</x:v>
      </x:c>
      <x:c r="D134" s="30" t="str">
        <x:v>Validaciones de Gestión de participantes en sesiones y talleres grupales</x:v>
      </x:c>
      <x:c r="E134" s="30" t="str">
        <x:v>Dado que existen reglas de negocio, permisos y datos obligatorios asociados al proceso</x:v>
      </x:c>
      <x:c r="F134" s="30" t="str">
        <x:v>Cuando el actor intenta realizar gestión de participantes en sesiones y talleres grupales con datos incompletos, inválidos o sin autorización</x:v>
      </x:c>
      <x:c r="G134" s="30" t="str">
        <x:v>Entonces el sistema debe bloquear la operación, explicar el motivo y conservar el estado anterior sin generar inconsistencias.</x:v>
      </x:c>
      <x:c r="H134" s="28"/>
      <x:c r="I134" s="28"/>
      <x:c r="J134" s="28"/>
    </x:row>
    <x:row r="135" ht="68" customHeight="1">
      <x:c r="A135" s="30" t="str">
        <x:v>HU-AGE-044</x:v>
      </x:c>
      <x:c r="B135" s="30" t="str">
        <x:v>RF-044</x:v>
      </x:c>
      <x:c r="C135" s="30" t="n">
        <x:v>3</x:v>
      </x:c>
      <x:c r="D135" s="30" t="str">
        <x:v>Trazabilidad de Gestión de participantes en sesiones y talleres grupales</x:v>
      </x:c>
      <x:c r="E135" s="30" t="str">
        <x:v>Dado que la operación de gestión de participantes en sesiones y talleres grupales finaliza correctamente o queda rechazada por una regla</x:v>
      </x:c>
      <x:c r="F135" s="30" t="str">
        <x:v>Cuando el sistema actualiza el resultado del proceso</x:v>
      </x:c>
      <x:c r="G135" s="30" t="str">
        <x:v>Entonces debe quedar trazabilidad disponible para consulta administrativa, auditoría funcional, notificaciones o reportes relacionados.</x:v>
      </x:c>
      <x:c r="H135" s="28"/>
      <x:c r="I135" s="28"/>
      <x:c r="J135" s="28"/>
    </x:row>
    <x:row r="136" ht="68" customHeight="1">
      <x:c r="A136" s="30" t="str">
        <x:v>HU-AGE-045</x:v>
      </x:c>
      <x:c r="B136" s="30" t="str">
        <x:v>RF-045</x:v>
      </x:c>
      <x:c r="C136" s="30" t="n">
        <x:v>1</x:v>
      </x:c>
      <x:c r="D136" s="30" t="str">
        <x:v>Gestión de disponibilidad del coach ejecutado correctamente</x:v>
      </x:c>
      <x:c r="E136" s="30" t="str">
        <x:v>Dado que el actor Coach tiene las condiciones necesarias para usar el módulo Agenda, sesiones y eventos</x:v>
      </x:c>
      <x:c r="F136" s="30" t="str">
        <x:v>Cuando ejecuta la funcionalidad de gestión de disponibilidad del coach</x:v>
      </x:c>
      <x:c r="G136" s="30" t="str">
        <x:v>Entonces el sistema debe completar la operación, guardar la información en sesiones, coaches y mostrar una confirmación clara.</x:v>
      </x:c>
      <x:c r="H136" s="28"/>
      <x:c r="I136" s="28"/>
      <x:c r="J136" s="28"/>
    </x:row>
    <x:row r="137" ht="68" customHeight="1">
      <x:c r="A137" s="30" t="str">
        <x:v>HU-AGE-045</x:v>
      </x:c>
      <x:c r="B137" s="30" t="str">
        <x:v>RF-045</x:v>
      </x:c>
      <x:c r="C137" s="30" t="n">
        <x:v>2</x:v>
      </x:c>
      <x:c r="D137" s="30" t="str">
        <x:v>Validaciones de Gestión de disponibilidad del coach</x:v>
      </x:c>
      <x:c r="E137" s="30" t="str">
        <x:v>Dado que existen reglas de negocio, permisos y datos obligatorios asociados al proceso</x:v>
      </x:c>
      <x:c r="F137" s="30" t="str">
        <x:v>Cuando el actor intenta realizar gestión de disponibilidad del coach con datos incompletos, inválidos o sin autorización</x:v>
      </x:c>
      <x:c r="G137" s="30" t="str">
        <x:v>Entonces el sistema debe bloquear la operación, explicar el motivo y conservar el estado anterior sin generar inconsistencias.</x:v>
      </x:c>
      <x:c r="H137" s="28"/>
      <x:c r="I137" s="28"/>
      <x:c r="J137" s="28"/>
    </x:row>
    <x:row r="138" ht="68" customHeight="1">
      <x:c r="A138" s="30" t="str">
        <x:v>HU-AGE-045</x:v>
      </x:c>
      <x:c r="B138" s="30" t="str">
        <x:v>RF-045</x:v>
      </x:c>
      <x:c r="C138" s="30" t="n">
        <x:v>3</x:v>
      </x:c>
      <x:c r="D138" s="30" t="str">
        <x:v>Trazabilidad de Gestión de disponibilidad del coach</x:v>
      </x:c>
      <x:c r="E138" s="30" t="str">
        <x:v>Dado que la operación de gestión de disponibilidad del coach finaliza correctamente o queda rechazada por una regla</x:v>
      </x:c>
      <x:c r="F138" s="30" t="str">
        <x:v>Cuando el sistema actualiza el resultado del proceso</x:v>
      </x:c>
      <x:c r="G138" s="30" t="str">
        <x:v>Entonces debe quedar trazabilidad disponible para consulta administrativa, auditoría funcional, notificaciones o reportes relacionados.</x:v>
      </x:c>
      <x:c r="H138" s="28"/>
      <x:c r="I138" s="28"/>
      <x:c r="J138" s="28"/>
    </x:row>
    <x:row r="139" ht="68" customHeight="1">
      <x:c r="A139" s="30" t="str">
        <x:v>HU-REP-046</x:v>
      </x:c>
      <x:c r="B139" s="30" t="str">
        <x:v>RF-046</x:v>
      </x:c>
      <x:c r="C139" s="30" t="n">
        <x:v>1</x:v>
      </x:c>
      <x:c r="D139" s="30" t="str">
        <x:v>Reportes de progreso del coach ejecutado correctamente</x:v>
      </x:c>
      <x:c r="E139" s="30" t="str">
        <x:v>Dado que el actor Coach tiene las condiciones necesarias para usar el módulo Reportes y analítica</x:v>
      </x:c>
      <x:c r="F139" s="30" t="str">
        <x:v>Cuando ejecuta la funcionalidad de reportes de progreso del coach</x:v>
      </x:c>
      <x:c r="G139" s="30" t="str">
        <x:v>Entonces el sistema debe completar la operación, guardar la información en reportes_generados, registros_progreso, clientes y mostrar una confirmación clara.</x:v>
      </x:c>
      <x:c r="H139" s="28"/>
      <x:c r="I139" s="28"/>
      <x:c r="J139" s="28"/>
    </x:row>
    <x:row r="140" ht="68" customHeight="1">
      <x:c r="A140" s="30" t="str">
        <x:v>HU-REP-046</x:v>
      </x:c>
      <x:c r="B140" s="30" t="str">
        <x:v>RF-046</x:v>
      </x:c>
      <x:c r="C140" s="30" t="n">
        <x:v>2</x:v>
      </x:c>
      <x:c r="D140" s="30" t="str">
        <x:v>Validaciones de Reportes de progreso del coach</x:v>
      </x:c>
      <x:c r="E140" s="30" t="str">
        <x:v>Dado que existen reglas de negocio, permisos y datos obligatorios asociados al proceso</x:v>
      </x:c>
      <x:c r="F140" s="30" t="str">
        <x:v>Cuando el actor intenta realizar reportes de progreso del coach con datos incompletos, inválidos o sin autorización</x:v>
      </x:c>
      <x:c r="G140" s="30" t="str">
        <x:v>Entonces el sistema debe bloquear la operación, explicar el motivo y conservar el estado anterior sin generar inconsistencias.</x:v>
      </x:c>
      <x:c r="H140" s="28"/>
      <x:c r="I140" s="28"/>
      <x:c r="J140" s="28"/>
    </x:row>
    <x:row r="141" ht="68" customHeight="1">
      <x:c r="A141" s="30" t="str">
        <x:v>HU-REP-046</x:v>
      </x:c>
      <x:c r="B141" s="30" t="str">
        <x:v>RF-046</x:v>
      </x:c>
      <x:c r="C141" s="30" t="n">
        <x:v>3</x:v>
      </x:c>
      <x:c r="D141" s="30" t="str">
        <x:v>Trazabilidad de Reportes de progreso del coach</x:v>
      </x:c>
      <x:c r="E141" s="30" t="str">
        <x:v>Dado que la operación de reportes de progreso del coach finaliza correctamente o queda rechazada por una regla</x:v>
      </x:c>
      <x:c r="F141" s="30" t="str">
        <x:v>Cuando el sistema actualiza el resultado del proceso</x:v>
      </x:c>
      <x:c r="G141" s="30" t="str">
        <x:v>Entonces debe quedar trazabilidad disponible para consulta administrativa, auditoría funcional, notificaciones o reportes relacionados.</x:v>
      </x:c>
      <x:c r="H141" s="28"/>
      <x:c r="I141" s="28"/>
      <x:c r="J141" s="28"/>
    </x:row>
    <x:row r="142" ht="68" customHeight="1">
      <x:c r="A142" s="30" t="str">
        <x:v>HU-REP-047</x:v>
      </x:c>
      <x:c r="B142" s="30" t="str">
        <x:v>RF-047</x:v>
      </x:c>
      <x:c r="C142" s="30" t="n">
        <x:v>1</x:v>
      </x:c>
      <x:c r="D142" s="30" t="str">
        <x:v>Reportes administrativos ejecutado correctamente</x:v>
      </x:c>
      <x:c r="E142" s="30" t="str">
        <x:v>Dado que el actor Administrador tiene las condiciones necesarias para usar el módulo Reportes y analítica</x:v>
      </x:c>
      <x:c r="F142" s="30" t="str">
        <x:v>Cuando ejecuta la funcionalidad de reportes administrativos</x:v>
      </x:c>
      <x:c r="G142" s="30" t="str">
        <x:v>Entonces el sistema debe completar la operación, guardar la información en reportes_generados, user, clientes, planes, solicitudes_compra y mostrar una confirmación clara.</x:v>
      </x:c>
      <x:c r="H142" s="28"/>
      <x:c r="I142" s="28"/>
      <x:c r="J142" s="28"/>
    </x:row>
    <x:row r="143" ht="68" customHeight="1">
      <x:c r="A143" s="30" t="str">
        <x:v>HU-REP-047</x:v>
      </x:c>
      <x:c r="B143" s="30" t="str">
        <x:v>RF-047</x:v>
      </x:c>
      <x:c r="C143" s="30" t="n">
        <x:v>2</x:v>
      </x:c>
      <x:c r="D143" s="30" t="str">
        <x:v>Validaciones de Reportes administrativos</x:v>
      </x:c>
      <x:c r="E143" s="30" t="str">
        <x:v>Dado que existen reglas de negocio, permisos y datos obligatorios asociados al proceso</x:v>
      </x:c>
      <x:c r="F143" s="30" t="str">
        <x:v>Cuando el actor intenta realizar reportes administrativos con datos incompletos, inválidos o sin autorización</x:v>
      </x:c>
      <x:c r="G143" s="30" t="str">
        <x:v>Entonces el sistema debe bloquear la operación, explicar el motivo y conservar el estado anterior sin generar inconsistencias.</x:v>
      </x:c>
      <x:c r="H143" s="28"/>
      <x:c r="I143" s="28"/>
      <x:c r="J143" s="28"/>
    </x:row>
    <x:row r="144" ht="68" customHeight="1">
      <x:c r="A144" s="30" t="str">
        <x:v>HU-REP-047</x:v>
      </x:c>
      <x:c r="B144" s="30" t="str">
        <x:v>RF-047</x:v>
      </x:c>
      <x:c r="C144" s="30" t="n">
        <x:v>3</x:v>
      </x:c>
      <x:c r="D144" s="30" t="str">
        <x:v>Trazabilidad de Reportes administrativos</x:v>
      </x:c>
      <x:c r="E144" s="30" t="str">
        <x:v>Dado que la operación de reportes administrativos finaliza correctamente o queda rechazada por una regla</x:v>
      </x:c>
      <x:c r="F144" s="30" t="str">
        <x:v>Cuando el sistema actualiza el resultado del proceso</x:v>
      </x:c>
      <x:c r="G144" s="30" t="str">
        <x:v>Entonces debe quedar trazabilidad disponible para consulta administrativa, auditoría funcional, notificaciones o reportes relacionados.</x:v>
      </x:c>
      <x:c r="H144" s="28"/>
      <x:c r="I144" s="28"/>
      <x:c r="J144" s="28"/>
    </x:row>
    <x:row r="145" ht="68" customHeight="1">
      <x:c r="A145" s="30" t="str">
        <x:v>HU-REP-048</x:v>
      </x:c>
      <x:c r="B145" s="30" t="str">
        <x:v>RF-048</x:v>
      </x:c>
      <x:c r="C145" s="30" t="n">
        <x:v>1</x:v>
      </x:c>
      <x:c r="D145" s="30" t="str">
        <x:v>Reportes de pagos ejecutado correctamente</x:v>
      </x:c>
      <x:c r="E145" s="30" t="str">
        <x:v>Dado que el actor Administrador tiene las condiciones necesarias para usar el módulo Reportes y analítica</x:v>
      </x:c>
      <x:c r="F145" s="30" t="str">
        <x:v>Cuando ejecuta la funcionalidad de reportes de pagos</x:v>
      </x:c>
      <x:c r="G145" s="30" t="str">
        <x:v>Entonces el sistema debe completar la operación, guardar la información en reportes_generados, pagos, solicitudes_compra y mostrar una confirmación clara.</x:v>
      </x:c>
      <x:c r="H145" s="28"/>
      <x:c r="I145" s="28"/>
      <x:c r="J145" s="28"/>
    </x:row>
    <x:row r="146" ht="68" customHeight="1">
      <x:c r="A146" s="30" t="str">
        <x:v>HU-REP-048</x:v>
      </x:c>
      <x:c r="B146" s="30" t="str">
        <x:v>RF-048</x:v>
      </x:c>
      <x:c r="C146" s="30" t="n">
        <x:v>2</x:v>
      </x:c>
      <x:c r="D146" s="30" t="str">
        <x:v>Validaciones de Reportes de pagos</x:v>
      </x:c>
      <x:c r="E146" s="30" t="str">
        <x:v>Dado que existen reglas de negocio, permisos y datos obligatorios asociados al proceso</x:v>
      </x:c>
      <x:c r="F146" s="30" t="str">
        <x:v>Cuando el actor intenta realizar reportes de pagos con datos incompletos, inválidos o sin autorización</x:v>
      </x:c>
      <x:c r="G146" s="30" t="str">
        <x:v>Entonces el sistema debe bloquear la operación, explicar el motivo y conservar el estado anterior sin generar inconsistencias.</x:v>
      </x:c>
      <x:c r="H146" s="28"/>
      <x:c r="I146" s="28"/>
      <x:c r="J146" s="28"/>
    </x:row>
    <x:row r="147" ht="68" customHeight="1">
      <x:c r="A147" s="30" t="str">
        <x:v>HU-REP-048</x:v>
      </x:c>
      <x:c r="B147" s="30" t="str">
        <x:v>RF-048</x:v>
      </x:c>
      <x:c r="C147" s="30" t="n">
        <x:v>3</x:v>
      </x:c>
      <x:c r="D147" s="30" t="str">
        <x:v>Trazabilidad de Reportes de pagos</x:v>
      </x:c>
      <x:c r="E147" s="30" t="str">
        <x:v>Dado que la operación de reportes de pagos finaliza correctamente o queda rechazada por una regla</x:v>
      </x:c>
      <x:c r="F147" s="30" t="str">
        <x:v>Cuando el sistema actualiza el resultado del proceso</x:v>
      </x:c>
      <x:c r="G147" s="30" t="str">
        <x:v>Entonces debe quedar trazabilidad disponible para consulta administrativa, auditoría funcional, notificaciones o reportes relacionados.</x:v>
      </x:c>
      <x:c r="H147" s="28"/>
      <x:c r="I147" s="28"/>
      <x:c r="J147" s="28"/>
    </x:row>
    <x:row r="148" ht="68" customHeight="1">
      <x:c r="A148" s="30" t="str">
        <x:v>HU-REP-049</x:v>
      </x:c>
      <x:c r="B148" s="30" t="str">
        <x:v>RF-049</x:v>
      </x:c>
      <x:c r="C148" s="30" t="n">
        <x:v>1</x:v>
      </x:c>
      <x:c r="D148" s="30" t="str">
        <x:v>Estadísticas del sistema ejecutado correctamente</x:v>
      </x:c>
      <x:c r="E148" s="30" t="str">
        <x:v>Dado que el actor Administrador tiene las condiciones necesarias para usar el módulo Reportes y analítica</x:v>
      </x:c>
      <x:c r="F148" s="30" t="str">
        <x:v>Cuando ejecuta la funcionalidad de estadísticas del sistema</x:v>
      </x:c>
      <x:c r="G148" s="30" t="str">
        <x:v>Entonces el sistema debe completar la operación, guardar la información en reportes_generados, vw_cupos_planes, vw_clientes_activos, pagos y mostrar una confirmación clara.</x:v>
      </x:c>
      <x:c r="H148" s="28"/>
      <x:c r="I148" s="28"/>
      <x:c r="J148" s="28"/>
    </x:row>
    <x:row r="149" ht="68" customHeight="1">
      <x:c r="A149" s="30" t="str">
        <x:v>HU-REP-049</x:v>
      </x:c>
      <x:c r="B149" s="30" t="str">
        <x:v>RF-049</x:v>
      </x:c>
      <x:c r="C149" s="30" t="n">
        <x:v>2</x:v>
      </x:c>
      <x:c r="D149" s="30" t="str">
        <x:v>Validaciones de Estadísticas del sistema</x:v>
      </x:c>
      <x:c r="E149" s="30" t="str">
        <x:v>Dado que existen reglas de negocio, permisos y datos obligatorios asociados al proceso</x:v>
      </x:c>
      <x:c r="F149" s="30" t="str">
        <x:v>Cuando el actor intenta realizar estadísticas del sistema con datos incompletos, inválidos o sin autorización</x:v>
      </x:c>
      <x:c r="G149" s="30" t="str">
        <x:v>Entonces el sistema debe bloquear la operación, explicar el motivo y conservar el estado anterior sin generar inconsistencias.</x:v>
      </x:c>
      <x:c r="H149" s="28"/>
      <x:c r="I149" s="28"/>
      <x:c r="J149" s="28"/>
    </x:row>
    <x:row r="150" ht="68" customHeight="1">
      <x:c r="A150" s="30" t="str">
        <x:v>HU-REP-049</x:v>
      </x:c>
      <x:c r="B150" s="30" t="str">
        <x:v>RF-049</x:v>
      </x:c>
      <x:c r="C150" s="30" t="n">
        <x:v>3</x:v>
      </x:c>
      <x:c r="D150" s="30" t="str">
        <x:v>Trazabilidad de Estadísticas del sistema</x:v>
      </x:c>
      <x:c r="E150" s="30" t="str">
        <x:v>Dado que la operación de estadísticas del sistema finaliza correctamente o queda rechazada por una regla</x:v>
      </x:c>
      <x:c r="F150" s="30" t="str">
        <x:v>Cuando el sistema actualiza el resultado del proceso</x:v>
      </x:c>
      <x:c r="G150" s="30" t="str">
        <x:v>Entonces debe quedar trazabilidad disponible para consulta administrativa, auditoría funcional, notificaciones o reportes relacionados.</x:v>
      </x:c>
      <x:c r="H150" s="28"/>
      <x:c r="I150" s="28"/>
      <x:c r="J150" s="28"/>
    </x:row>
    <x:row r="151" ht="68" customHeight="1">
      <x:c r="A151" s="30" t="str">
        <x:v>HU-COM-050</x:v>
      </x:c>
      <x:c r="B151" s="30" t="str">
        <x:v>RF-050</x:v>
      </x:c>
      <x:c r="C151" s="30" t="n">
        <x:v>1</x:v>
      </x:c>
      <x:c r="D151" s="30" t="str">
        <x:v>Notificación de pagos pendientes ejecutado correctamente</x:v>
      </x:c>
      <x:c r="E151" s="30" t="str">
        <x:v>Dado que el actor Sistema tiene las condiciones necesarias para usar el módulo Comunicación y notificaciones</x:v>
      </x:c>
      <x:c r="F151" s="30" t="str">
        <x:v>Cuando ejecuta la funcionalidad de notificación de pagos pendientes</x:v>
      </x:c>
      <x:c r="G151" s="30" t="str">
        <x:v>Entonces el sistema debe completar la operación, guardar la información en notificaciones, pagos, solicitudes_compra y mostrar una confirmación clara.</x:v>
      </x:c>
      <x:c r="H151" s="28"/>
      <x:c r="I151" s="28"/>
      <x:c r="J151" s="28"/>
    </x:row>
    <x:row r="152" ht="68" customHeight="1">
      <x:c r="A152" s="30" t="str">
        <x:v>HU-COM-050</x:v>
      </x:c>
      <x:c r="B152" s="30" t="str">
        <x:v>RF-050</x:v>
      </x:c>
      <x:c r="C152" s="30" t="n">
        <x:v>2</x:v>
      </x:c>
      <x:c r="D152" s="30" t="str">
        <x:v>Validaciones de Notificación de pagos pendientes</x:v>
      </x:c>
      <x:c r="E152" s="30" t="str">
        <x:v>Dado que existen reglas de negocio, permisos y datos obligatorios asociados al proceso</x:v>
      </x:c>
      <x:c r="F152" s="30" t="str">
        <x:v>Cuando el actor intenta realizar notificación de pagos pendientes con datos incompletos, inválidos o sin autorización</x:v>
      </x:c>
      <x:c r="G152" s="30" t="str">
        <x:v>Entonces el sistema debe bloquear la operación, explicar el motivo y conservar el estado anterior sin generar inconsistencias.</x:v>
      </x:c>
      <x:c r="H152" s="28"/>
      <x:c r="I152" s="28"/>
      <x:c r="J152" s="28"/>
    </x:row>
    <x:row r="153" ht="68" customHeight="1">
      <x:c r="A153" s="30" t="str">
        <x:v>HU-COM-050</x:v>
      </x:c>
      <x:c r="B153" s="30" t="str">
        <x:v>RF-050</x:v>
      </x:c>
      <x:c r="C153" s="30" t="n">
        <x:v>3</x:v>
      </x:c>
      <x:c r="D153" s="30" t="str">
        <x:v>Trazabilidad de Notificación de pagos pendientes</x:v>
      </x:c>
      <x:c r="E153" s="30" t="str">
        <x:v>Dado que la operación de notificación de pagos pendientes finaliza correctamente o queda rechazada por una regla</x:v>
      </x:c>
      <x:c r="F153" s="30" t="str">
        <x:v>Cuando el sistema actualiza el resultado del proceso</x:v>
      </x:c>
      <x:c r="G153" s="30" t="str">
        <x:v>Entonces debe quedar trazabilidad disponible para consulta administrativa, auditoría funcional, notificaciones o reportes relacionados.</x:v>
      </x:c>
      <x:c r="H153" s="28"/>
      <x:c r="I153" s="28"/>
      <x:c r="J153" s="28"/>
    </x:row>
    <x:row r="154" ht="68" customHeight="1">
      <x:c r="A154" s="30" t="str">
        <x:v>HU-COM-051</x:v>
      </x:c>
      <x:c r="B154" s="30" t="str">
        <x:v>RF-051</x:v>
      </x:c>
      <x:c r="C154" s="30" t="n">
        <x:v>1</x:v>
      </x:c>
      <x:c r="D154" s="30" t="str">
        <x:v>Notificación de vencimiento de planes ejecutado correctamente</x:v>
      </x:c>
      <x:c r="E154" s="30" t="str">
        <x:v>Dado que el actor Sistema tiene las condiciones necesarias para usar el módulo Comunicación y notificaciones</x:v>
      </x:c>
      <x:c r="F154" s="30" t="str">
        <x:v>Cuando ejecuta la funcionalidad de notificación de vencimiento de planes</x:v>
      </x:c>
      <x:c r="G154" s="30" t="str">
        <x:v>Entonces el sistema debe completar la operación, guardar la información en notificaciones, planes_cliente y mostrar una confirmación clara.</x:v>
      </x:c>
      <x:c r="H154" s="28"/>
      <x:c r="I154" s="28"/>
      <x:c r="J154" s="28"/>
    </x:row>
    <x:row r="155" ht="68" customHeight="1">
      <x:c r="A155" s="30" t="str">
        <x:v>HU-COM-051</x:v>
      </x:c>
      <x:c r="B155" s="30" t="str">
        <x:v>RF-051</x:v>
      </x:c>
      <x:c r="C155" s="30" t="n">
        <x:v>2</x:v>
      </x:c>
      <x:c r="D155" s="30" t="str">
        <x:v>Validaciones de Notificación de vencimiento de planes</x:v>
      </x:c>
      <x:c r="E155" s="30" t="str">
        <x:v>Dado que existen reglas de negocio, permisos y datos obligatorios asociados al proceso</x:v>
      </x:c>
      <x:c r="F155" s="30" t="str">
        <x:v>Cuando el actor intenta realizar notificación de vencimiento de planes con datos incompletos, inválidos o sin autorización</x:v>
      </x:c>
      <x:c r="G155" s="30" t="str">
        <x:v>Entonces el sistema debe bloquear la operación, explicar el motivo y conservar el estado anterior sin generar inconsistencias.</x:v>
      </x:c>
      <x:c r="H155" s="28"/>
      <x:c r="I155" s="28"/>
      <x:c r="J155" s="28"/>
    </x:row>
    <x:row r="156" ht="68" customHeight="1">
      <x:c r="A156" s="30" t="str">
        <x:v>HU-COM-051</x:v>
      </x:c>
      <x:c r="B156" s="30" t="str">
        <x:v>RF-051</x:v>
      </x:c>
      <x:c r="C156" s="30" t="n">
        <x:v>3</x:v>
      </x:c>
      <x:c r="D156" s="30" t="str">
        <x:v>Trazabilidad de Notificación de vencimiento de planes</x:v>
      </x:c>
      <x:c r="E156" s="30" t="str">
        <x:v>Dado que la operación de notificación de vencimiento de planes finaliza correctamente o queda rechazada por una regla</x:v>
      </x:c>
      <x:c r="F156" s="30" t="str">
        <x:v>Cuando el sistema actualiza el resultado del proceso</x:v>
      </x:c>
      <x:c r="G156" s="30" t="str">
        <x:v>Entonces debe quedar trazabilidad disponible para consulta administrativa, auditoría funcional, notificaciones o reportes relacionados.</x:v>
      </x:c>
      <x:c r="H156" s="28"/>
      <x:c r="I156" s="28"/>
      <x:c r="J156" s="28"/>
    </x:row>
    <x:row r="157" ht="68" customHeight="1">
      <x:c r="A157" s="30" t="str">
        <x:v>HU-COM-052</x:v>
      </x:c>
      <x:c r="B157" s="30" t="str">
        <x:v>RF-052</x:v>
      </x:c>
      <x:c r="C157" s="30" t="n">
        <x:v>1</x:v>
      </x:c>
      <x:c r="D157" s="30" t="str">
        <x:v>Notificación de nuevas rutinas ejecutado correctamente</x:v>
      </x:c>
      <x:c r="E157" s="30" t="str">
        <x:v>Dado que el actor Sistema tiene las condiciones necesarias para usar el módulo Comunicación y notificaciones</x:v>
      </x:c>
      <x:c r="F157" s="30" t="str">
        <x:v>Cuando ejecuta la funcionalidad de notificación de nuevas rutinas</x:v>
      </x:c>
      <x:c r="G157" s="30" t="str">
        <x:v>Entonces el sistema debe completar la operación, guardar la información en notificaciones, rutinas y mostrar una confirmación clara.</x:v>
      </x:c>
      <x:c r="H157" s="28"/>
      <x:c r="I157" s="28"/>
      <x:c r="J157" s="28"/>
    </x:row>
    <x:row r="158" ht="68" customHeight="1">
      <x:c r="A158" s="30" t="str">
        <x:v>HU-COM-052</x:v>
      </x:c>
      <x:c r="B158" s="30" t="str">
        <x:v>RF-052</x:v>
      </x:c>
      <x:c r="C158" s="30" t="n">
        <x:v>2</x:v>
      </x:c>
      <x:c r="D158" s="30" t="str">
        <x:v>Validaciones de Notificación de nuevas rutinas</x:v>
      </x:c>
      <x:c r="E158" s="30" t="str">
        <x:v>Dado que existen reglas de negocio, permisos y datos obligatorios asociados al proceso</x:v>
      </x:c>
      <x:c r="F158" s="30" t="str">
        <x:v>Cuando el actor intenta realizar notificación de nuevas rutinas con datos incompletos, inválidos o sin autorización</x:v>
      </x:c>
      <x:c r="G158" s="30" t="str">
        <x:v>Entonces el sistema debe bloquear la operación, explicar el motivo y conservar el estado anterior sin generar inconsistencias.</x:v>
      </x:c>
      <x:c r="H158" s="28"/>
      <x:c r="I158" s="28"/>
      <x:c r="J158" s="28"/>
    </x:row>
    <x:row r="159" ht="68" customHeight="1">
      <x:c r="A159" s="30" t="str">
        <x:v>HU-COM-052</x:v>
      </x:c>
      <x:c r="B159" s="30" t="str">
        <x:v>RF-052</x:v>
      </x:c>
      <x:c r="C159" s="30" t="n">
        <x:v>3</x:v>
      </x:c>
      <x:c r="D159" s="30" t="str">
        <x:v>Trazabilidad de Notificación de nuevas rutinas</x:v>
      </x:c>
      <x:c r="E159" s="30" t="str">
        <x:v>Dado que la operación de notificación de nuevas rutinas finaliza correctamente o queda rechazada por una regla</x:v>
      </x:c>
      <x:c r="F159" s="30" t="str">
        <x:v>Cuando el sistema actualiza el resultado del proceso</x:v>
      </x:c>
      <x:c r="G159" s="30" t="str">
        <x:v>Entonces debe quedar trazabilidad disponible para consulta administrativa, auditoría funcional, notificaciones o reportes relacionados.</x:v>
      </x:c>
      <x:c r="H159" s="28"/>
      <x:c r="I159" s="28"/>
      <x:c r="J159" s="28"/>
    </x:row>
    <x:row r="160" ht="68" customHeight="1">
      <x:c r="A160" s="30" t="str">
        <x:v>HU-COM-053</x:v>
      </x:c>
      <x:c r="B160" s="30" t="str">
        <x:v>RF-053</x:v>
      </x:c>
      <x:c r="C160" s="30" t="n">
        <x:v>1</x:v>
      </x:c>
      <x:c r="D160" s="30" t="str">
        <x:v>Notificación de actualización nutricional ejecutado correctamente</x:v>
      </x:c>
      <x:c r="E160" s="30" t="str">
        <x:v>Dado que el actor Sistema tiene las condiciones necesarias para usar el módulo Comunicación y notificaciones</x:v>
      </x:c>
      <x:c r="F160" s="30" t="str">
        <x:v>Cuando ejecuta la funcionalidad de notificación de actualización nutricional</x:v>
      </x:c>
      <x:c r="G160" s="30" t="str">
        <x:v>Entonces el sistema debe completar la operación, guardar la información en notificaciones, planes_nutricionales y mostrar una confirmación clara.</x:v>
      </x:c>
      <x:c r="H160" s="28"/>
      <x:c r="I160" s="28"/>
      <x:c r="J160" s="28"/>
    </x:row>
    <x:row r="161" ht="68" customHeight="1">
      <x:c r="A161" s="30" t="str">
        <x:v>HU-COM-053</x:v>
      </x:c>
      <x:c r="B161" s="30" t="str">
        <x:v>RF-053</x:v>
      </x:c>
      <x:c r="C161" s="30" t="n">
        <x:v>2</x:v>
      </x:c>
      <x:c r="D161" s="30" t="str">
        <x:v>Validaciones de Notificación de actualización nutricional</x:v>
      </x:c>
      <x:c r="E161" s="30" t="str">
        <x:v>Dado que existen reglas de negocio, permisos y datos obligatorios asociados al proceso</x:v>
      </x:c>
      <x:c r="F161" s="30" t="str">
        <x:v>Cuando el actor intenta realizar notificación de actualización nutricional con datos incompletos, inválidos o sin autorización</x:v>
      </x:c>
      <x:c r="G161" s="30" t="str">
        <x:v>Entonces el sistema debe bloquear la operación, explicar el motivo y conservar el estado anterior sin generar inconsistencias.</x:v>
      </x:c>
      <x:c r="H161" s="28"/>
      <x:c r="I161" s="28"/>
      <x:c r="J161" s="28"/>
    </x:row>
    <x:row r="162" ht="68" customHeight="1">
      <x:c r="A162" s="30" t="str">
        <x:v>HU-COM-053</x:v>
      </x:c>
      <x:c r="B162" s="30" t="str">
        <x:v>RF-053</x:v>
      </x:c>
      <x:c r="C162" s="30" t="n">
        <x:v>3</x:v>
      </x:c>
      <x:c r="D162" s="30" t="str">
        <x:v>Trazabilidad de Notificación de actualización nutricional</x:v>
      </x:c>
      <x:c r="E162" s="30" t="str">
        <x:v>Dado que la operación de notificación de actualización nutricional finaliza correctamente o queda rechazada por una regla</x:v>
      </x:c>
      <x:c r="F162" s="30" t="str">
        <x:v>Cuando el sistema actualiza el resultado del proceso</x:v>
      </x:c>
      <x:c r="G162" s="30" t="str">
        <x:v>Entonces debe quedar trazabilidad disponible para consulta administrativa, auditoría funcional, notificaciones o reportes relacionados.</x:v>
      </x:c>
      <x:c r="H162" s="28"/>
      <x:c r="I162" s="28"/>
      <x:c r="J162" s="28"/>
    </x:row>
    <x:row r="163" ht="68" customHeight="1">
      <x:c r="A163" s="30" t="str">
        <x:v>HU-INS-054</x:v>
      </x:c>
      <x:c r="B163" s="30" t="str">
        <x:v>RF-054</x:v>
      </x:c>
      <x:c r="C163" s="30" t="n">
        <x:v>1</x:v>
      </x:c>
      <x:c r="D163" s="30" t="str">
        <x:v>Gestión de instituciones ejecutado correctamente</x:v>
      </x:c>
      <x:c r="E163" s="30" t="str">
        <x:v>Dado que el actor Administrador tiene las condiciones necesarias para usar el módulo Instituciones</x:v>
      </x:c>
      <x:c r="F163" s="30" t="str">
        <x:v>Cuando ejecuta la funcionalidad de gestión de instituciones</x:v>
      </x:c>
      <x:c r="G163" s="30" t="str">
        <x:v>Entonces el sistema debe completar la operación, guardar la información en instituciones y mostrar una confirmación clara.</x:v>
      </x:c>
      <x:c r="H163" s="28"/>
      <x:c r="I163" s="28"/>
      <x:c r="J163" s="28"/>
    </x:row>
    <x:row r="164" ht="68" customHeight="1">
      <x:c r="A164" s="30" t="str">
        <x:v>HU-INS-054</x:v>
      </x:c>
      <x:c r="B164" s="30" t="str">
        <x:v>RF-054</x:v>
      </x:c>
      <x:c r="C164" s="30" t="n">
        <x:v>2</x:v>
      </x:c>
      <x:c r="D164" s="30" t="str">
        <x:v>Validaciones de Gestión de instituciones</x:v>
      </x:c>
      <x:c r="E164" s="30" t="str">
        <x:v>Dado que existen reglas de negocio, permisos y datos obligatorios asociados al proceso</x:v>
      </x:c>
      <x:c r="F164" s="30" t="str">
        <x:v>Cuando el actor intenta realizar gestión de instituciones con datos incompletos, inválidos o sin autorización</x:v>
      </x:c>
      <x:c r="G164" s="30" t="str">
        <x:v>Entonces el sistema debe bloquear la operación, explicar el motivo y conservar el estado anterior sin generar inconsistencias.</x:v>
      </x:c>
      <x:c r="H164" s="28"/>
      <x:c r="I164" s="28"/>
      <x:c r="J164" s="28"/>
    </x:row>
    <x:row r="165" ht="68" customHeight="1">
      <x:c r="A165" s="30" t="str">
        <x:v>HU-INS-054</x:v>
      </x:c>
      <x:c r="B165" s="30" t="str">
        <x:v>RF-054</x:v>
      </x:c>
      <x:c r="C165" s="30" t="n">
        <x:v>3</x:v>
      </x:c>
      <x:c r="D165" s="30" t="str">
        <x:v>Trazabilidad de Gestión de instituciones</x:v>
      </x:c>
      <x:c r="E165" s="30" t="str">
        <x:v>Dado que la operación de gestión de instituciones finaliza correctamente o queda rechazada por una regla</x:v>
      </x:c>
      <x:c r="F165" s="30" t="str">
        <x:v>Cuando el sistema actualiza el resultado del proceso</x:v>
      </x:c>
      <x:c r="G165" s="30" t="str">
        <x:v>Entonces debe quedar trazabilidad disponible para consulta administrativa, auditoría funcional, notificaciones o reportes relacionados.</x:v>
      </x:c>
      <x:c r="H165" s="28"/>
      <x:c r="I165" s="28"/>
      <x:c r="J165" s="28"/>
    </x:row>
    <x:row r="166" ht="68" customHeight="1">
      <x:c r="A166" s="30" t="str">
        <x:v>HU-INS-055</x:v>
      </x:c>
      <x:c r="B166" s="30" t="str">
        <x:v>RF-055</x:v>
      </x:c>
      <x:c r="C166" s="30" t="n">
        <x:v>1</x:v>
      </x:c>
      <x:c r="D166" s="30" t="str">
        <x:v>Vinculación de clientes a instituciones ejecutado correctamente</x:v>
      </x:c>
      <x:c r="E166" s="30" t="str">
        <x:v>Dado que el actor Administrador tiene las condiciones necesarias para usar el módulo Instituciones</x:v>
      </x:c>
      <x:c r="F166" s="30" t="str">
        <x:v>Cuando ejecuta la funcionalidad de vinculación de clientes a instituciones</x:v>
      </x:c>
      <x:c r="G166" s="30" t="str">
        <x:v>Entonces el sistema debe completar la operación, guardar la información en clientes, instituciones y mostrar una confirmación clara.</x:v>
      </x:c>
      <x:c r="H166" s="28"/>
      <x:c r="I166" s="28"/>
      <x:c r="J166" s="28"/>
    </x:row>
    <x:row r="167" ht="68" customHeight="1">
      <x:c r="A167" s="30" t="str">
        <x:v>HU-INS-055</x:v>
      </x:c>
      <x:c r="B167" s="30" t="str">
        <x:v>RF-055</x:v>
      </x:c>
      <x:c r="C167" s="30" t="n">
        <x:v>2</x:v>
      </x:c>
      <x:c r="D167" s="30" t="str">
        <x:v>Validaciones de Vinculación de clientes a instituciones</x:v>
      </x:c>
      <x:c r="E167" s="30" t="str">
        <x:v>Dado que existen reglas de negocio, permisos y datos obligatorios asociados al proceso</x:v>
      </x:c>
      <x:c r="F167" s="30" t="str">
        <x:v>Cuando el actor intenta realizar vinculación de clientes a instituciones con datos incompletos, inválidos o sin autorización</x:v>
      </x:c>
      <x:c r="G167" s="30" t="str">
        <x:v>Entonces el sistema debe bloquear la operación, explicar el motivo y conservar el estado anterior sin generar inconsistencias.</x:v>
      </x:c>
      <x:c r="H167" s="28"/>
      <x:c r="I167" s="28"/>
      <x:c r="J167" s="28"/>
    </x:row>
    <x:row r="168" ht="68" customHeight="1">
      <x:c r="A168" s="30" t="str">
        <x:v>HU-INS-055</x:v>
      </x:c>
      <x:c r="B168" s="30" t="str">
        <x:v>RF-055</x:v>
      </x:c>
      <x:c r="C168" s="30" t="n">
        <x:v>3</x:v>
      </x:c>
      <x:c r="D168" s="30" t="str">
        <x:v>Trazabilidad de Vinculación de clientes a instituciones</x:v>
      </x:c>
      <x:c r="E168" s="30" t="str">
        <x:v>Dado que la operación de vinculación de clientes a instituciones finaliza correctamente o queda rechazada por una regla</x:v>
      </x:c>
      <x:c r="F168" s="30" t="str">
        <x:v>Cuando el sistema actualiza el resultado del proceso</x:v>
      </x:c>
      <x:c r="G168" s="30" t="str">
        <x:v>Entonces debe quedar trazabilidad disponible para consulta administrativa, auditoría funcional, notificaciones o reportes relacionados.</x:v>
      </x:c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24" hidden="0" customWidth="1"/>
    <x:col min="5" max="5" width="46" hidden="0" customWidth="1"/>
    <x:col min="6" max="6" width="46" hidden="0" customWidth="1"/>
    <x:col min="7" max="7" width="52" hidden="0" customWidth="1"/>
    <x:col min="8" max="8" width="30" hidden="0" customWidth="1"/>
    <x:col min="9" max="9" width="54" hidden="0" customWidth="1"/>
  </x:cols>
  <x:sheetData>
    <x:row r="1" ht="26" customHeight="1">
      <x:c r="A1" s="36" t="str">
        <x:v>Matriz de trazabilidad entre requisitos, historias, casos de uso, criterios y base de datos</x:v>
      </x:c>
      <x:c r="B1" s="36"/>
      <x:c r="C1" s="36"/>
      <x:c r="D1" s="36"/>
      <x:c r="E1" s="36"/>
      <x:c r="F1" s="36"/>
      <x:c r="G1" s="36"/>
      <x:c r="H1" s="36"/>
      <x:c r="I1" s="36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9" t="str">
        <x:v>ID HU</x:v>
      </x:c>
      <x:c r="B3" s="39" t="str">
        <x:v>RF</x:v>
      </x:c>
      <x:c r="C3" s="39" t="str">
        <x:v>CU</x:v>
      </x:c>
      <x:c r="D3" s="39" t="str">
        <x:v>Actor</x:v>
      </x:c>
      <x:c r="E3" s="39" t="str">
        <x:v>Diagrama actividad</x:v>
      </x:c>
      <x:c r="F3" s="39" t="str">
        <x:v>Diagrama secuencia</x:v>
      </x:c>
      <x:c r="G3" s="39" t="str">
        <x:v>Tablas BD</x:v>
      </x:c>
      <x:c r="H3" s="39" t="str">
        <x:v>Módulo</x:v>
      </x:c>
      <x:c r="I3" s="39" t="str">
        <x:v>Observación</x:v>
      </x:c>
      <x:c r="J3" s="28"/>
    </x:row>
    <x:row r="4" ht="54" customHeight="1">
      <x:c r="A4" s="30" t="str">
        <x:v>HU-ACC-001</x:v>
      </x:c>
      <x:c r="B4" s="30" t="str">
        <x:v>RF-001</x:v>
      </x:c>
      <x:c r="C4" s="30" t="str">
        <x:v>CU-01</x:v>
      </x:c>
      <x:c r="D4" s="30" t="str">
        <x:v>Visitante / Usuario interesado</x:v>
      </x:c>
      <x:c r="E4" s="30" t="str">
        <x:v>DA-ACC-001_Consulta_seleccion_y_solicitud_de_compra_de_plan.drawio</x:v>
      </x:c>
      <x:c r="F4" s="30" t="str">
        <x:v>DS-ACC-001_Consulta_seleccion_y_solicitud_de_compra_de_plan.drawio</x:v>
      </x:c>
      <x:c r="G4" s="30" t="str">
        <x:v>planes, vw_cupos_planes, solicitudes_compra, pagos</x:v>
      </x:c>
      <x:c r="H4" s="30" t="str">
        <x:v>Usuarios y acceso</x:v>
      </x:c>
      <x:c r="I4" s="30" t="str">
        <x:v>Actualizado con flujo final de compra, cupos, pago, validación administrativa y acceso por módulos.</x:v>
      </x:c>
      <x:c r="J4" s="28"/>
    </x:row>
    <x:row r="5" ht="54" customHeight="1">
      <x:c r="A5" s="30" t="str">
        <x:v>HU-ACC-002</x:v>
      </x:c>
      <x:c r="B5" s="30" t="str">
        <x:v>RF-002</x:v>
      </x:c>
      <x:c r="C5" s="30" t="str">
        <x:v>CU-02</x:v>
      </x:c>
      <x:c r="D5" s="30" t="str">
        <x:v>Administrador</x:v>
      </x:c>
      <x:c r="E5" s="30" t="str">
        <x:v>DA-ACC-002_Registro_administrativo_de_clientes.drawio</x:v>
      </x:c>
      <x:c r="F5" s="30" t="str">
        <x:v>DS-ACC-002_Registro_administrativo_de_clientes.drawio</x:v>
      </x:c>
      <x:c r="G5" s="30" t="str">
        <x:v>user, roles, user_roles, clientes, instituciones</x:v>
      </x:c>
      <x:c r="H5" s="30" t="str">
        <x:v>Usuarios y acceso</x:v>
      </x:c>
      <x:c r="I5" s="30" t="str">
        <x:v>Coherente con SRS, casos de uso y base stayfit.</x:v>
      </x:c>
      <x:c r="J5" s="28"/>
    </x:row>
    <x:row r="6" ht="54" customHeight="1">
      <x:c r="A6" s="30" t="str">
        <x:v>HU-ACC-003</x:v>
      </x:c>
      <x:c r="B6" s="30" t="str">
        <x:v>RF-003</x:v>
      </x:c>
      <x:c r="C6" s="30" t="str">
        <x:v>CU-03</x:v>
      </x:c>
      <x:c r="D6" s="30" t="str">
        <x:v>Administrador</x:v>
      </x:c>
      <x:c r="E6" s="30" t="str">
        <x:v>DA-ACC-003_Registro_de_coaches.drawio</x:v>
      </x:c>
      <x:c r="F6" s="30" t="str">
        <x:v>DS-ACC-003_Registro_de_coaches.drawio</x:v>
      </x:c>
      <x:c r="G6" s="30" t="str">
        <x:v>user, roles, user_roles, coaches</x:v>
      </x:c>
      <x:c r="H6" s="30" t="str">
        <x:v>Usuarios y acceso</x:v>
      </x:c>
      <x:c r="I6" s="30" t="str">
        <x:v>Coherente con SRS, casos de uso y base stayfit.</x:v>
      </x:c>
      <x:c r="J6" s="28"/>
    </x:row>
    <x:row r="7" ht="54" customHeight="1">
      <x:c r="A7" s="30" t="str">
        <x:v>HU-ACC-004</x:v>
      </x:c>
      <x:c r="B7" s="30" t="str">
        <x:v>RF-004</x:v>
      </x:c>
      <x:c r="C7" s="30" t="str">
        <x:v>CU-04</x:v>
      </x:c>
      <x:c r="D7" s="30" t="str">
        <x:v>Usuario</x:v>
      </x:c>
      <x:c r="E7" s="30" t="str">
        <x:v>DA-ACC-004_Inicio_de_sesion.drawio</x:v>
      </x:c>
      <x:c r="F7" s="30" t="str">
        <x:v>DS-ACC-004_Inicio_de_sesion.drawio</x:v>
      </x:c>
      <x:c r="G7" s="30" t="str">
        <x:v>user, roles, user_roles</x:v>
      </x:c>
      <x:c r="H7" s="30" t="str">
        <x:v>Usuarios y acceso</x:v>
      </x:c>
      <x:c r="I7" s="30" t="str">
        <x:v>Coherente con SRS, casos de uso y base stayfit.</x:v>
      </x:c>
      <x:c r="J7" s="28"/>
    </x:row>
    <x:row r="8" ht="54" customHeight="1">
      <x:c r="A8" s="30" t="str">
        <x:v>HU-ACC-005</x:v>
      </x:c>
      <x:c r="B8" s="30" t="str">
        <x:v>RF-005</x:v>
      </x:c>
      <x:c r="C8" s="30" t="str">
        <x:v>CU-05</x:v>
      </x:c>
      <x:c r="D8" s="30" t="str">
        <x:v>Usuario</x:v>
      </x:c>
      <x:c r="E8" s="30" t="str">
        <x:v>DA-ACC-005_Recuperacion_de_contrasena.drawio</x:v>
      </x:c>
      <x:c r="F8" s="30" t="str">
        <x:v>DS-ACC-005_Recuperacion_de_contrasena.drawio</x:v>
      </x:c>
      <x:c r="G8" s="30" t="str">
        <x:v>user, tokens_recuperacion</x:v>
      </x:c>
      <x:c r="H8" s="30" t="str">
        <x:v>Usuarios y acceso</x:v>
      </x:c>
      <x:c r="I8" s="30" t="str">
        <x:v>Coherente con SRS, casos de uso y base stayfit.</x:v>
      </x:c>
      <x:c r="J8" s="28"/>
    </x:row>
    <x:row r="9" ht="54" customHeight="1">
      <x:c r="A9" s="30" t="str">
        <x:v>HU-ACC-006</x:v>
      </x:c>
      <x:c r="B9" s="30" t="str">
        <x:v>RF-006</x:v>
      </x:c>
      <x:c r="C9" s="30" t="str">
        <x:v>CU-06</x:v>
      </x:c>
      <x:c r="D9" s="30" t="str">
        <x:v>Administrador</x:v>
      </x:c>
      <x:c r="E9" s="30" t="str">
        <x:v>DA-ACC-006_Gestion_de_usuarios.drawio</x:v>
      </x:c>
      <x:c r="F9" s="30" t="str">
        <x:v>DS-ACC-006_Gestion_de_usuarios.drawio</x:v>
      </x:c>
      <x:c r="G9" s="30" t="str">
        <x:v>user, roles, user_roles, clientes, coaches</x:v>
      </x:c>
      <x:c r="H9" s="30" t="str">
        <x:v>Usuarios y acceso</x:v>
      </x:c>
      <x:c r="I9" s="30" t="str">
        <x:v>Coherente con SRS, casos de uso y base stayfit.</x:v>
      </x:c>
      <x:c r="J9" s="28"/>
    </x:row>
    <x:row r="10" ht="54" customHeight="1">
      <x:c r="A10" s="30" t="str">
        <x:v>HU-PER-007</x:v>
      </x:c>
      <x:c r="B10" s="30" t="str">
        <x:v>RF-007</x:v>
      </x:c>
      <x:c r="C10" s="30" t="str">
        <x:v>CU-07</x:v>
      </x:c>
      <x:c r="D10" s="30" t="str">
        <x:v>Cliente</x:v>
      </x:c>
      <x:c r="E10" s="30" t="str">
        <x:v>DA-PER-007_Actualizacion_de_datos_personales.drawio</x:v>
      </x:c>
      <x:c r="F10" s="30" t="str">
        <x:v>DS-PER-007_Actualizacion_de_datos_personales.drawio</x:v>
      </x:c>
      <x:c r="G10" s="30" t="str">
        <x:v>user, clientes</x:v>
      </x:c>
      <x:c r="H10" s="30" t="str">
        <x:v>Perfil y clientes</x:v>
      </x:c>
      <x:c r="I10" s="30" t="str">
        <x:v>Coherente con SRS, casos de uso y base stayfit.</x:v>
      </x:c>
      <x:c r="J10" s="28"/>
    </x:row>
    <x:row r="11" ht="54" customHeight="1">
      <x:c r="A11" s="30" t="str">
        <x:v>HU-PER-008</x:v>
      </x:c>
      <x:c r="B11" s="30" t="str">
        <x:v>RF-008</x:v>
      </x:c>
      <x:c r="C11" s="30" t="str">
        <x:v>CU-08</x:v>
      </x:c>
      <x:c r="D11" s="30" t="str">
        <x:v>Cliente</x:v>
      </x:c>
      <x:c r="E11" s="30" t="str">
        <x:v>DA-PER-008_Actualizacion_de_datos_fisicos.drawio</x:v>
      </x:c>
      <x:c r="F11" s="30" t="str">
        <x:v>DS-PER-008_Actualizacion_de_datos_fisicos.drawio</x:v>
      </x:c>
      <x:c r="G11" s="30" t="str">
        <x:v>clientes, registros_progreso</x:v>
      </x:c>
      <x:c r="H11" s="30" t="str">
        <x:v>Perfil y clientes</x:v>
      </x:c>
      <x:c r="I11" s="30" t="str">
        <x:v>Coherente con SRS, casos de uso y base stayfit.</x:v>
      </x:c>
      <x:c r="J11" s="28"/>
    </x:row>
    <x:row r="12" ht="54" customHeight="1">
      <x:c r="A12" s="30" t="str">
        <x:v>HU-PER-009</x:v>
      </x:c>
      <x:c r="B12" s="30" t="str">
        <x:v>RF-009</x:v>
      </x:c>
      <x:c r="C12" s="30" t="str">
        <x:v>CU-09</x:v>
      </x:c>
      <x:c r="D12" s="30" t="str">
        <x:v>Administrador</x:v>
      </x:c>
      <x:c r="E12" s="30" t="str">
        <x:v>DA-PER-009_Asignacion_de_coach.drawio</x:v>
      </x:c>
      <x:c r="F12" s="30" t="str">
        <x:v>DS-PER-009_Asignacion_de_coach.drawio</x:v>
      </x:c>
      <x:c r="G12" s="30" t="str">
        <x:v>clientes, coaches, planes_cliente</x:v>
      </x:c>
      <x:c r="H12" s="30" t="str">
        <x:v>Perfil y clientes</x:v>
      </x:c>
      <x:c r="I12" s="30" t="str">
        <x:v>Coherente con SRS, casos de uso y base stayfit.</x:v>
      </x:c>
      <x:c r="J12" s="28"/>
    </x:row>
    <x:row r="13" ht="54" customHeight="1">
      <x:c r="A13" s="30" t="str">
        <x:v>HU-ENT-010</x:v>
      </x:c>
      <x:c r="B13" s="30" t="str">
        <x:v>RF-010</x:v>
      </x:c>
      <x:c r="C13" s="30" t="str">
        <x:v>CU-10</x:v>
      </x:c>
      <x:c r="D13" s="30" t="str">
        <x:v>Coach</x:v>
      </x:c>
      <x:c r="E13" s="30" t="str">
        <x:v>DA-ENT-010_Creacion_de_plan_de_entrenamiento.drawio</x:v>
      </x:c>
      <x:c r="F13" s="30" t="str">
        <x:v>DS-ENT-010_Creacion_de_plan_de_entrenamiento.drawio</x:v>
      </x:c>
      <x:c r="G13" s="30" t="str">
        <x:v>planes_entrenamiento, clientes, coaches, acceso_cliente_modulo</x:v>
      </x:c>
      <x:c r="H13" s="30" t="str">
        <x:v>Entrenamiento y contenido virtual</x:v>
      </x:c>
      <x:c r="I13" s="30" t="str">
        <x:v>Coherente con SRS, casos de uso y base stayfit.</x:v>
      </x:c>
      <x:c r="J13" s="28"/>
    </x:row>
    <x:row r="14" ht="54" customHeight="1">
      <x:c r="A14" s="30" t="str">
        <x:v>HU-ENT-011</x:v>
      </x:c>
      <x:c r="B14" s="30" t="str">
        <x:v>RF-011</x:v>
      </x:c>
      <x:c r="C14" s="30" t="str">
        <x:v>CU-11</x:v>
      </x:c>
      <x:c r="D14" s="30" t="str">
        <x:v>Coach</x:v>
      </x:c>
      <x:c r="E14" s="30" t="str">
        <x:v>DA-ENT-011_Asignacion_de_rutinas.drawio</x:v>
      </x:c>
      <x:c r="F14" s="30" t="str">
        <x:v>DS-ENT-011_Asignacion_de_rutinas.drawio</x:v>
      </x:c>
      <x:c r="G14" s="30" t="str">
        <x:v>rutinas, rutina_ejercicios, ejercicios, planes_entrenamiento</x:v>
      </x:c>
      <x:c r="H14" s="30" t="str">
        <x:v>Entrenamiento y contenido virtual</x:v>
      </x:c>
      <x:c r="I14" s="30" t="str">
        <x:v>Coherente con SRS, casos de uso y base stayfit.</x:v>
      </x:c>
      <x:c r="J14" s="28"/>
    </x:row>
    <x:row r="15" ht="54" customHeight="1">
      <x:c r="A15" s="30" t="str">
        <x:v>HU-ENT-012</x:v>
      </x:c>
      <x:c r="B15" s="30" t="str">
        <x:v>RF-012</x:v>
      </x:c>
      <x:c r="C15" s="30" t="str">
        <x:v>CU-12</x:v>
      </x:c>
      <x:c r="D15" s="30" t="str">
        <x:v>Coach / Administrador</x:v>
      </x:c>
      <x:c r="E15" s="30" t="str">
        <x:v>DA-ENT-012_Carga_de_material_de_entrenamiento_y_videos.drawio</x:v>
      </x:c>
      <x:c r="F15" s="30" t="str">
        <x:v>DS-ENT-012_Carga_de_material_de_entrenamiento_y_videos.drawio</x:v>
      </x:c>
      <x:c r="G15" s="30" t="str">
        <x:v>material_entrenamiento, ejercicios, programas_virtuales, categorias_video, videos</x:v>
      </x:c>
      <x:c r="H15" s="30" t="str">
        <x:v>Entrenamiento y contenido virtual</x:v>
      </x:c>
      <x:c r="I15" s="30" t="str">
        <x:v>Coherente con SRS, casos de uso y base stayfit.</x:v>
      </x:c>
      <x:c r="J15" s="28"/>
    </x:row>
    <x:row r="16" ht="54" customHeight="1">
      <x:c r="A16" s="30" t="str">
        <x:v>HU-ENT-013</x:v>
      </x:c>
      <x:c r="B16" s="30" t="str">
        <x:v>RF-013</x:v>
      </x:c>
      <x:c r="C16" s="30" t="str">
        <x:v>CU-13</x:v>
      </x:c>
      <x:c r="D16" s="30" t="str">
        <x:v>Cliente</x:v>
      </x:c>
      <x:c r="E16" s="30" t="str">
        <x:v>DA-ENT-013_Visualizacion_de_rutinas_y_programa_virtual.drawio</x:v>
      </x:c>
      <x:c r="F16" s="30" t="str">
        <x:v>DS-ENT-013_Visualizacion_de_rutinas_y_programa_virtual.drawio</x:v>
      </x:c>
      <x:c r="G16" s="30" t="str">
        <x:v>rutinas, ejercicios, material_entrenamiento, programas_virtuales, videos, acceso_cliente_modulo</x:v>
      </x:c>
      <x:c r="H16" s="30" t="str">
        <x:v>Entrenamiento y contenido virtual</x:v>
      </x:c>
      <x:c r="I16" s="30" t="str">
        <x:v>Coherente con SRS, casos de uso y base stayfit.</x:v>
      </x:c>
      <x:c r="J16" s="28"/>
    </x:row>
    <x:row r="17" ht="54" customHeight="1">
      <x:c r="A17" s="30" t="str">
        <x:v>HU-ENT-014</x:v>
      </x:c>
      <x:c r="B17" s="30" t="str">
        <x:v>RF-014</x:v>
      </x:c>
      <x:c r="C17" s="30" t="str">
        <x:v>CU-14</x:v>
      </x:c>
      <x:c r="D17" s="30" t="str">
        <x:v>Cliente</x:v>
      </x:c>
      <x:c r="E17" s="30" t="str">
        <x:v>DA-ENT-014_Registro_de_rutinas_completadas_y_avance_en_videos.drawio</x:v>
      </x:c>
      <x:c r="F17" s="30" t="str">
        <x:v>DS-ENT-014_Registro_de_rutinas_completadas_y_avance_en_videos.drawio</x:v>
      </x:c>
      <x:c r="G17" s="30" t="str">
        <x:v>registro_rutinas, progreso_videos, rutinas, videos</x:v>
      </x:c>
      <x:c r="H17" s="30" t="str">
        <x:v>Entrenamiento y contenido virtual</x:v>
      </x:c>
      <x:c r="I17" s="30" t="str">
        <x:v>Coherente con SRS, casos de uso y base stayfit.</x:v>
      </x:c>
      <x:c r="J17" s="28"/>
    </x:row>
    <x:row r="18" ht="54" customHeight="1">
      <x:c r="A18" s="30" t="str">
        <x:v>HU-ENT-015</x:v>
      </x:c>
      <x:c r="B18" s="30" t="str">
        <x:v>RF-015</x:v>
      </x:c>
      <x:c r="C18" s="30" t="str">
        <x:v>CU-15</x:v>
      </x:c>
      <x:c r="D18" s="30" t="str">
        <x:v>Coach</x:v>
      </x:c>
      <x:c r="E18" s="30" t="str">
        <x:v>DA-ENT-015_Modificacion_de_rutinas.drawio</x:v>
      </x:c>
      <x:c r="F18" s="30" t="str">
        <x:v>DS-ENT-015_Modificacion_de_rutinas.drawio</x:v>
      </x:c>
      <x:c r="G18" s="30" t="str">
        <x:v>rutinas, rutina_ejercicios, planes_entrenamiento</x:v>
      </x:c>
      <x:c r="H18" s="30" t="str">
        <x:v>Entrenamiento y contenido virtual</x:v>
      </x:c>
      <x:c r="I18" s="30" t="str">
        <x:v>Coherente con SRS, casos de uso y base stayfit.</x:v>
      </x:c>
      <x:c r="J18" s="28"/>
    </x:row>
    <x:row r="19" ht="54" customHeight="1">
      <x:c r="A19" s="30" t="str">
        <x:v>HU-ENT-016</x:v>
      </x:c>
      <x:c r="B19" s="30" t="str">
        <x:v>RF-016</x:v>
      </x:c>
      <x:c r="C19" s="30" t="str">
        <x:v>CU-16</x:v>
      </x:c>
      <x:c r="D19" s="30" t="str">
        <x:v>Coach</x:v>
      </x:c>
      <x:c r="E19" s="30" t="str">
        <x:v>DA-ENT-016_Programacion_de_entrenamientos.drawio</x:v>
      </x:c>
      <x:c r="F19" s="30" t="str">
        <x:v>DS-ENT-016_Programacion_de_entrenamientos.drawio</x:v>
      </x:c>
      <x:c r="G19" s="30" t="str">
        <x:v>sesiones, sesion_participantes, clientes, coaches</x:v>
      </x:c>
      <x:c r="H19" s="30" t="str">
        <x:v>Entrenamiento y contenido virtual</x:v>
      </x:c>
      <x:c r="I19" s="30" t="str">
        <x:v>Coherente con SRS, casos de uso y base stayfit.</x:v>
      </x:c>
      <x:c r="J19" s="28"/>
    </x:row>
    <x:row r="20" ht="54" customHeight="1">
      <x:c r="A20" s="30" t="str">
        <x:v>HU-NUT-017</x:v>
      </x:c>
      <x:c r="B20" s="30" t="str">
        <x:v>RF-017</x:v>
      </x:c>
      <x:c r="C20" s="30" t="str">
        <x:v>CU-17</x:v>
      </x:c>
      <x:c r="D20" s="30" t="str">
        <x:v>Coach</x:v>
      </x:c>
      <x:c r="E20" s="30" t="str">
        <x:v>DA-NUT-017_Creacion_de_plan_nutricional.drawio</x:v>
      </x:c>
      <x:c r="F20" s="30" t="str">
        <x:v>DS-NUT-017_Creacion_de_plan_nutricional.drawio</x:v>
      </x:c>
      <x:c r="G20" s="30" t="str">
        <x:v>planes_nutricionales, clientes, coaches, acceso_cliente_modulo</x:v>
      </x:c>
      <x:c r="H20" s="30" t="str">
        <x:v>Nutrición</x:v>
      </x:c>
      <x:c r="I20" s="30" t="str">
        <x:v>Coherente con SRS, casos de uso y base stayfit.</x:v>
      </x:c>
      <x:c r="J20" s="28"/>
    </x:row>
    <x:row r="21" ht="54" customHeight="1">
      <x:c r="A21" s="30" t="str">
        <x:v>HU-NUT-018</x:v>
      </x:c>
      <x:c r="B21" s="30" t="str">
        <x:v>RF-018</x:v>
      </x:c>
      <x:c r="C21" s="30" t="str">
        <x:v>CU-18</x:v>
      </x:c>
      <x:c r="D21" s="30" t="str">
        <x:v>Coach</x:v>
      </x:c>
      <x:c r="E21" s="30" t="str">
        <x:v>DA-NUT-018_Asignacion_de_plan_nutricional.drawio</x:v>
      </x:c>
      <x:c r="F21" s="30" t="str">
        <x:v>DS-NUT-018_Asignacion_de_plan_nutricional.drawio</x:v>
      </x:c>
      <x:c r="G21" s="30" t="str">
        <x:v>planes_nutricionales, clientes</x:v>
      </x:c>
      <x:c r="H21" s="30" t="str">
        <x:v>Nutrición</x:v>
      </x:c>
      <x:c r="I21" s="30" t="str">
        <x:v>Coherente con SRS, casos de uso y base stayfit.</x:v>
      </x:c>
      <x:c r="J21" s="28"/>
    </x:row>
    <x:row r="22" ht="54" customHeight="1">
      <x:c r="A22" s="30" t="str">
        <x:v>HU-NUT-019</x:v>
      </x:c>
      <x:c r="B22" s="30" t="str">
        <x:v>RF-019</x:v>
      </x:c>
      <x:c r="C22" s="30" t="str">
        <x:v>CU-19</x:v>
      </x:c>
      <x:c r="D22" s="30" t="str">
        <x:v>Cliente</x:v>
      </x:c>
      <x:c r="E22" s="30" t="str">
        <x:v>DA-NUT-019_Visualizacion_de_plan_nutricional.drawio</x:v>
      </x:c>
      <x:c r="F22" s="30" t="str">
        <x:v>DS-NUT-019_Visualizacion_de_plan_nutricional.drawio</x:v>
      </x:c>
      <x:c r="G22" s="30" t="str">
        <x:v>planes_nutricionales, comidas, acceso_cliente_modulo</x:v>
      </x:c>
      <x:c r="H22" s="30" t="str">
        <x:v>Nutrición</x:v>
      </x:c>
      <x:c r="I22" s="30" t="str">
        <x:v>Coherente con SRS, casos de uso y base stayfit.</x:v>
      </x:c>
      <x:c r="J22" s="28"/>
    </x:row>
    <x:row r="23" ht="54" customHeight="1">
      <x:c r="A23" s="30" t="str">
        <x:v>HU-NUT-020</x:v>
      </x:c>
      <x:c r="B23" s="30" t="str">
        <x:v>RF-020</x:v>
      </x:c>
      <x:c r="C23" s="30" t="str">
        <x:v>CU-20</x:v>
      </x:c>
      <x:c r="D23" s="30" t="str">
        <x:v>Coach</x:v>
      </x:c>
      <x:c r="E23" s="30" t="str">
        <x:v>DA-NUT-020_Actualizacion_de_plan_nutricional.drawio</x:v>
      </x:c>
      <x:c r="F23" s="30" t="str">
        <x:v>DS-NUT-020_Actualizacion_de_plan_nutricional.drawio</x:v>
      </x:c>
      <x:c r="G23" s="30" t="str">
        <x:v>planes_nutricionales, comidas</x:v>
      </x:c>
      <x:c r="H23" s="30" t="str">
        <x:v>Nutrición</x:v>
      </x:c>
      <x:c r="I23" s="30" t="str">
        <x:v>Coherente con SRS, casos de uso y base stayfit.</x:v>
      </x:c>
      <x:c r="J23" s="28"/>
    </x:row>
    <x:row r="24" ht="54" customHeight="1">
      <x:c r="A24" s="30" t="str">
        <x:v>HU-NUT-021</x:v>
      </x:c>
      <x:c r="B24" s="30" t="str">
        <x:v>RF-021</x:v>
      </x:c>
      <x:c r="C24" s="30" t="str">
        <x:v>CU-21</x:v>
      </x:c>
      <x:c r="D24" s="30" t="str">
        <x:v>Coach</x:v>
      </x:c>
      <x:c r="E24" s="30" t="str">
        <x:v>DA-NUT-021_Registro_de_recomendaciones_nutricionales.drawio</x:v>
      </x:c>
      <x:c r="F24" s="30" t="str">
        <x:v>DS-NUT-021_Registro_de_recomendaciones_nutricionales.drawio</x:v>
      </x:c>
      <x:c r="G24" s="30" t="str">
        <x:v>planes_nutricionales</x:v>
      </x:c>
      <x:c r="H24" s="30" t="str">
        <x:v>Nutrición</x:v>
      </x:c>
      <x:c r="I24" s="30" t="str">
        <x:v>Coherente con SRS, casos de uso y base stayfit.</x:v>
      </x:c>
      <x:c r="J24" s="28"/>
    </x:row>
    <x:row r="25" ht="54" customHeight="1">
      <x:c r="A25" s="30" t="str">
        <x:v>HU-PRO-022</x:v>
      </x:c>
      <x:c r="B25" s="30" t="str">
        <x:v>RF-022</x:v>
      </x:c>
      <x:c r="C25" s="30" t="str">
        <x:v>CU-22</x:v>
      </x:c>
      <x:c r="D25" s="30" t="str">
        <x:v>Cliente</x:v>
      </x:c>
      <x:c r="E25" s="30" t="str">
        <x:v>DA-PRO-022_Registro_de_peso.drawio</x:v>
      </x:c>
      <x:c r="F25" s="30" t="str">
        <x:v>DS-PRO-022_Registro_de_peso.drawio</x:v>
      </x:c>
      <x:c r="G25" s="30" t="str">
        <x:v>registros_progreso</x:v>
      </x:c>
      <x:c r="H25" s="30" t="str">
        <x:v>Progreso</x:v>
      </x:c>
      <x:c r="I25" s="30" t="str">
        <x:v>Coherente con SRS, casos de uso y base stayfit.</x:v>
      </x:c>
      <x:c r="J25" s="28"/>
    </x:row>
    <x:row r="26" ht="54" customHeight="1">
      <x:c r="A26" s="30" t="str">
        <x:v>HU-PRO-023</x:v>
      </x:c>
      <x:c r="B26" s="30" t="str">
        <x:v>RF-023</x:v>
      </x:c>
      <x:c r="C26" s="30" t="str">
        <x:v>CU-23</x:v>
      </x:c>
      <x:c r="D26" s="30" t="str">
        <x:v>Cliente</x:v>
      </x:c>
      <x:c r="E26" s="30" t="str">
        <x:v>DA-PRO-023_Registro_de_medidas_corporales.drawio</x:v>
      </x:c>
      <x:c r="F26" s="30" t="str">
        <x:v>DS-PRO-023_Registro_de_medidas_corporales.drawio</x:v>
      </x:c>
      <x:c r="G26" s="30" t="str">
        <x:v>registros_progreso</x:v>
      </x:c>
      <x:c r="H26" s="30" t="str">
        <x:v>Progreso</x:v>
      </x:c>
      <x:c r="I26" s="30" t="str">
        <x:v>Coherente con SRS, casos de uso y base stayfit.</x:v>
      </x:c>
      <x:c r="J26" s="28"/>
    </x:row>
    <x:row r="27" ht="54" customHeight="1">
      <x:c r="A27" s="30" t="str">
        <x:v>HU-PRO-024</x:v>
      </x:c>
      <x:c r="B27" s="30" t="str">
        <x:v>RF-024</x:v>
      </x:c>
      <x:c r="C27" s="30" t="str">
        <x:v>CU-24</x:v>
      </x:c>
      <x:c r="D27" s="30" t="str">
        <x:v>Cliente</x:v>
      </x:c>
      <x:c r="E27" s="30" t="str">
        <x:v>DA-PRO-024_Registro_fotografico_de_progreso.drawio</x:v>
      </x:c>
      <x:c r="F27" s="30" t="str">
        <x:v>DS-PRO-024_Registro_fotografico_de_progreso.drawio</x:v>
      </x:c>
      <x:c r="G27" s="30" t="str">
        <x:v>registros_progreso</x:v>
      </x:c>
      <x:c r="H27" s="30" t="str">
        <x:v>Progreso</x:v>
      </x:c>
      <x:c r="I27" s="30" t="str">
        <x:v>Coherente con SRS, casos de uso y base stayfit.</x:v>
      </x:c>
      <x:c r="J27" s="28"/>
    </x:row>
    <x:row r="28" ht="54" customHeight="1">
      <x:c r="A28" s="30" t="str">
        <x:v>HU-PRO-025</x:v>
      </x:c>
      <x:c r="B28" s="30" t="str">
        <x:v>RF-025</x:v>
      </x:c>
      <x:c r="C28" s="30" t="str">
        <x:v>CU-25</x:v>
      </x:c>
      <x:c r="D28" s="30" t="str">
        <x:v>Cliente</x:v>
      </x:c>
      <x:c r="E28" s="30" t="str">
        <x:v>DA-PRO-025_Historial_de_progreso.drawio</x:v>
      </x:c>
      <x:c r="F28" s="30" t="str">
        <x:v>DS-PRO-025_Historial_de_progreso.drawio</x:v>
      </x:c>
      <x:c r="G28" s="30" t="str">
        <x:v>registros_progreso</x:v>
      </x:c>
      <x:c r="H28" s="30" t="str">
        <x:v>Progreso</x:v>
      </x:c>
      <x:c r="I28" s="30" t="str">
        <x:v>Coherente con SRS, casos de uso y base stayfit.</x:v>
      </x:c>
      <x:c r="J28" s="28"/>
    </x:row>
    <x:row r="29" ht="54" customHeight="1">
      <x:c r="A29" s="30" t="str">
        <x:v>HU-PRO-026</x:v>
      </x:c>
      <x:c r="B29" s="30" t="str">
        <x:v>RF-026</x:v>
      </x:c>
      <x:c r="C29" s="30" t="str">
        <x:v>CU-26</x:v>
      </x:c>
      <x:c r="D29" s="30" t="str">
        <x:v>Cliente</x:v>
      </x:c>
      <x:c r="E29" s="30" t="str">
        <x:v>DA-PRO-026_Comparacion_de_progreso.drawio</x:v>
      </x:c>
      <x:c r="F29" s="30" t="str">
        <x:v>DS-PRO-026_Comparacion_de_progreso.drawio</x:v>
      </x:c>
      <x:c r="G29" s="30" t="str">
        <x:v>registros_progreso</x:v>
      </x:c>
      <x:c r="H29" s="30" t="str">
        <x:v>Progreso</x:v>
      </x:c>
      <x:c r="I29" s="30" t="str">
        <x:v>Coherente con SRS, casos de uso y base stayfit.</x:v>
      </x:c>
      <x:c r="J29" s="28"/>
    </x:row>
    <x:row r="30" ht="54" customHeight="1">
      <x:c r="A30" s="30" t="str">
        <x:v>HU-PRO-027</x:v>
      </x:c>
      <x:c r="B30" s="30" t="str">
        <x:v>RF-027</x:v>
      </x:c>
      <x:c r="C30" s="30" t="str">
        <x:v>CU-27</x:v>
      </x:c>
      <x:c r="D30" s="30" t="str">
        <x:v>Coach</x:v>
      </x:c>
      <x:c r="E30" s="30" t="str">
        <x:v>DA-PRO-027_Observaciones_del_coach_sobre_progreso.drawio</x:v>
      </x:c>
      <x:c r="F30" s="30" t="str">
        <x:v>DS-PRO-027_Observaciones_del_coach_sobre_progreso.drawio</x:v>
      </x:c>
      <x:c r="G30" s="30" t="str">
        <x:v>registros_progreso, coaches</x:v>
      </x:c>
      <x:c r="H30" s="30" t="str">
        <x:v>Progreso</x:v>
      </x:c>
      <x:c r="I30" s="30" t="str">
        <x:v>Coherente con SRS, casos de uso y base stayfit.</x:v>
      </x:c>
      <x:c r="J30" s="28"/>
    </x:row>
    <x:row r="31" ht="54" customHeight="1">
      <x:c r="A31" s="30" t="str">
        <x:v>HU-PAG-028</x:v>
      </x:c>
      <x:c r="B31" s="30" t="str">
        <x:v>RF-028</x:v>
      </x:c>
      <x:c r="C31" s="30" t="str">
        <x:v>CU-28</x:v>
      </x:c>
      <x:c r="D31" s="30" t="str">
        <x:v>Visitante / Cliente</x:v>
      </x:c>
      <x:c r="E31" s="30" t="str">
        <x:v>DA-PAG-028_Registro_de_pago_asociado_a_compra.drawio</x:v>
      </x:c>
      <x:c r="F31" s="30" t="str">
        <x:v>DS-PAG-028_Registro_de_pago_asociado_a_compra.drawio</x:v>
      </x:c>
      <x:c r="G31" s="30" t="str">
        <x:v>pagos, solicitudes_compra, planes</x:v>
      </x:c>
      <x:c r="H31" s="30" t="str">
        <x:v>Pagos, solicitudes, cupos y acceso</x:v>
      </x:c>
      <x:c r="I31" s="30" t="str">
        <x:v>Actualizado con flujo final de compra, cupos, pago, validación administrativa y acceso por módulos.</x:v>
      </x:c>
      <x:c r="J31" s="28"/>
    </x:row>
    <x:row r="32" ht="54" customHeight="1">
      <x:c r="A32" s="30" t="str">
        <x:v>HU-PAG-029</x:v>
      </x:c>
      <x:c r="B32" s="30" t="str">
        <x:v>RF-029</x:v>
      </x:c>
      <x:c r="C32" s="30" t="str">
        <x:v>CU-29</x:v>
      </x:c>
      <x:c r="D32" s="30" t="str">
        <x:v>Administrador</x:v>
      </x:c>
      <x:c r="E32" s="30" t="str">
        <x:v>DA-PAG-029_Validacion_de_solicitud_de_compra_y_pago.drawio</x:v>
      </x:c>
      <x:c r="F32" s="30" t="str">
        <x:v>DS-PAG-029_Validacion_de_solicitud_de_compra_y_pago.drawio</x:v>
      </x:c>
      <x:c r="G32" s="30" t="str">
        <x:v>solicitudes_compra, pagos, user</x:v>
      </x:c>
      <x:c r="H32" s="30" t="str">
        <x:v>Pagos, solicitudes, cupos y acceso</x:v>
      </x:c>
      <x:c r="I32" s="30" t="str">
        <x:v>Actualizado con flujo final de compra, cupos, pago, validación administrativa y acceso por módulos.</x:v>
      </x:c>
      <x:c r="J32" s="28"/>
    </x:row>
    <x:row r="33" ht="54" customHeight="1">
      <x:c r="A33" s="30" t="str">
        <x:v>HU-PAG-030</x:v>
      </x:c>
      <x:c r="B33" s="30" t="str">
        <x:v>RF-030</x:v>
      </x:c>
      <x:c r="C33" s="30" t="str">
        <x:v>CU-30</x:v>
      </x:c>
      <x:c r="D33" s="30" t="str">
        <x:v>Sistema</x:v>
      </x:c>
      <x:c r="E33" s="30" t="str">
        <x:v>DA-PAG-030_Activacion_automatica_de_cliente_y_accesos.drawio</x:v>
      </x:c>
      <x:c r="F33" s="30" t="str">
        <x:v>DS-PAG-030_Activacion_automatica_de_cliente_y_accesos.drawio</x:v>
      </x:c>
      <x:c r="G33" s="30" t="str">
        <x:v>user, user_roles, clientes, planes_cliente, acceso_cliente_modulo, plan_modulos</x:v>
      </x:c>
      <x:c r="H33" s="30" t="str">
        <x:v>Pagos, solicitudes, cupos y acceso</x:v>
      </x:c>
      <x:c r="I33" s="30" t="str">
        <x:v>Actualizado con flujo final de compra, cupos, pago, validación administrativa y acceso por módulos.</x:v>
      </x:c>
      <x:c r="J33" s="28"/>
    </x:row>
    <x:row r="34" ht="54" customHeight="1">
      <x:c r="A34" s="30" t="str">
        <x:v>HU-PAG-031</x:v>
      </x:c>
      <x:c r="B34" s="30" t="str">
        <x:v>RF-031</x:v>
      </x:c>
      <x:c r="C34" s="30" t="str">
        <x:v>CU-31</x:v>
      </x:c>
      <x:c r="D34" s="30" t="str">
        <x:v>Sistema</x:v>
      </x:c>
      <x:c r="E34" s="30" t="str">
        <x:v>DA-PAG-031_Restriccion_de_acceso_a_modulos_sin_plan_vigente.drawio</x:v>
      </x:c>
      <x:c r="F34" s="30" t="str">
        <x:v>DS-PAG-031_Restriccion_de_acceso_a_modulos_sin_plan_vigente.drawio</x:v>
      </x:c>
      <x:c r="G34" s="30" t="str">
        <x:v>acceso_cliente_modulo, planes_cliente, pagos</x:v>
      </x:c>
      <x:c r="H34" s="30" t="str">
        <x:v>Pagos, solicitudes, cupos y acceso</x:v>
      </x:c>
      <x:c r="I34" s="30" t="str">
        <x:v>Actualizado con flujo final de compra, cupos, pago, validación administrativa y acceso por módulos.</x:v>
      </x:c>
      <x:c r="J34" s="28"/>
    </x:row>
    <x:row r="35" ht="54" customHeight="1">
      <x:c r="A35" s="30" t="str">
        <x:v>HU-PAG-032</x:v>
      </x:c>
      <x:c r="B35" s="30" t="str">
        <x:v>RF-032</x:v>
      </x:c>
      <x:c r="C35" s="30" t="str">
        <x:v>CU-32</x:v>
      </x:c>
      <x:c r="D35" s="30" t="str">
        <x:v>Cliente</x:v>
      </x:c>
      <x:c r="E35" s="30" t="str">
        <x:v>DA-PAG-032_Historial_de_pagos.drawio</x:v>
      </x:c>
      <x:c r="F35" s="30" t="str">
        <x:v>DS-PAG-032_Historial_de_pagos.drawio</x:v>
      </x:c>
      <x:c r="G35" s="30" t="str">
        <x:v>pagos, solicitudes_compra, planes_cliente</x:v>
      </x:c>
      <x:c r="H35" s="30" t="str">
        <x:v>Pagos, solicitudes, cupos y acceso</x:v>
      </x:c>
      <x:c r="I35" s="30" t="str">
        <x:v>Coherente con SRS, casos de uso y base stayfit.</x:v>
      </x:c>
      <x:c r="J35" s="28"/>
    </x:row>
    <x:row r="36" ht="54" customHeight="1">
      <x:c r="A36" s="30" t="str">
        <x:v>HU-PAG-033</x:v>
      </x:c>
      <x:c r="B36" s="30" t="str">
        <x:v>RF-033</x:v>
      </x:c>
      <x:c r="C36" s="30" t="str">
        <x:v>CU-33</x:v>
      </x:c>
      <x:c r="D36" s="30" t="str">
        <x:v>Sistema</x:v>
      </x:c>
      <x:c r="E36" s="30" t="str">
        <x:v>DA-PAG-033_Vencimiento_de_planes.drawio</x:v>
      </x:c>
      <x:c r="F36" s="30" t="str">
        <x:v>DS-PAG-033_Vencimiento_de_planes.drawio</x:v>
      </x:c>
      <x:c r="G36" s="30" t="str">
        <x:v>planes_cliente, acceso_cliente_modulo, notificaciones</x:v>
      </x:c>
      <x:c r="H36" s="30" t="str">
        <x:v>Pagos, solicitudes, cupos y acceso</x:v>
      </x:c>
      <x:c r="I36" s="30" t="str">
        <x:v>Coherente con SRS, casos de uso y base stayfit.</x:v>
      </x:c>
      <x:c r="J36" s="28"/>
    </x:row>
    <x:row r="37" ht="54" customHeight="1">
      <x:c r="A37" s="30" t="str">
        <x:v>HU-PAG-034</x:v>
      </x:c>
      <x:c r="B37" s="30" t="str">
        <x:v>RF-034</x:v>
      </x:c>
      <x:c r="C37" s="30" t="str">
        <x:v>CU-34</x:v>
      </x:c>
      <x:c r="D37" s="30" t="str">
        <x:v>Administrador</x:v>
      </x:c>
      <x:c r="E37" s="30" t="str">
        <x:v>DA-PAG-034_Gestion_de_catalogo_de_planes_comerciales_con_cupos.drawio</x:v>
      </x:c>
      <x:c r="F37" s="30" t="str">
        <x:v>DS-PAG-034_Gestion_de_catalogo_de_planes_comerciales_con_cupos.drawio</x:v>
      </x:c>
      <x:c r="G37" s="30" t="str">
        <x:v>planes, modulos_servicio, plan_modulos, vw_cupos_planes</x:v>
      </x:c>
      <x:c r="H37" s="30" t="str">
        <x:v>Pagos, solicitudes, cupos y acceso</x:v>
      </x:c>
      <x:c r="I37" s="30" t="str">
        <x:v>Actualizado con flujo final de compra, cupos, pago, validación administrativa y acceso por módulos.</x:v>
      </x:c>
      <x:c r="J37" s="28"/>
    </x:row>
    <x:row r="38" ht="54" customHeight="1">
      <x:c r="A38" s="30" t="str">
        <x:v>HU-PAG-035</x:v>
      </x:c>
      <x:c r="B38" s="30" t="str">
        <x:v>RF-035</x:v>
      </x:c>
      <x:c r="C38" s="30" t="str">
        <x:v>CU-35</x:v>
      </x:c>
      <x:c r="D38" s="30" t="str">
        <x:v>Cliente</x:v>
      </x:c>
      <x:c r="E38" s="30" t="str">
        <x:v>DA-PAG-035_Consulta_del_estado_de_acceso_a_modulos_adquiridos.drawio</x:v>
      </x:c>
      <x:c r="F38" s="30" t="str">
        <x:v>DS-PAG-035_Consulta_del_estado_de_acceso_a_modulos_adquiridos.drawio</x:v>
      </x:c>
      <x:c r="G38" s="30" t="str">
        <x:v>acceso_cliente_modulo, planes_cliente, modulos_servicio</x:v>
      </x:c>
      <x:c r="H38" s="30" t="str">
        <x:v>Pagos, solicitudes, cupos y acceso</x:v>
      </x:c>
      <x:c r="I38" s="30" t="str">
        <x:v>Coherente con SRS, casos de uso y base stayfit.</x:v>
      </x:c>
      <x:c r="J38" s="28"/>
    </x:row>
    <x:row r="39" ht="54" customHeight="1">
      <x:c r="A39" s="30" t="str">
        <x:v>HU-COM-036</x:v>
      </x:c>
      <x:c r="B39" s="30" t="str">
        <x:v>RF-036</x:v>
      </x:c>
      <x:c r="C39" s="30" t="str">
        <x:v>CU-36</x:v>
      </x:c>
      <x:c r="D39" s="30" t="str">
        <x:v>Cliente / Coach</x:v>
      </x:c>
      <x:c r="E39" s="30" t="str">
        <x:v>DA-COM-036_Chat_interno_cliente-coach.drawio</x:v>
      </x:c>
      <x:c r="F39" s="30" t="str">
        <x:v>DS-COM-036_Chat_interno_cliente-coach.drawio</x:v>
      </x:c>
      <x:c r="G39" s="30" t="str">
        <x:v>chats, mensajes</x:v>
      </x:c>
      <x:c r="H39" s="30" t="str">
        <x:v>Comunicación y notificaciones</x:v>
      </x:c>
      <x:c r="I39" s="30" t="str">
        <x:v>Coherente con SRS, casos de uso y base stayfit.</x:v>
      </x:c>
      <x:c r="J39" s="28"/>
    </x:row>
    <x:row r="40" ht="54" customHeight="1">
      <x:c r="A40" s="30" t="str">
        <x:v>HU-COM-037</x:v>
      </x:c>
      <x:c r="B40" s="30" t="str">
        <x:v>RF-037</x:v>
      </x:c>
      <x:c r="C40" s="30" t="str">
        <x:v>CU-37</x:v>
      </x:c>
      <x:c r="D40" s="30" t="str">
        <x:v>Coach / Administrador</x:v>
      </x:c>
      <x:c r="E40" s="30" t="str">
        <x:v>DA-COM-037_Mensajes_grupales_por_difusion.drawio</x:v>
      </x:c>
      <x:c r="F40" s="30" t="str">
        <x:v>DS-COM-037_Mensajes_grupales_por_difusion.drawio</x:v>
      </x:c>
      <x:c r="G40" s="30" t="str">
        <x:v>notificaciones, clientes, instituciones</x:v>
      </x:c>
      <x:c r="H40" s="30" t="str">
        <x:v>Comunicación y notificaciones</x:v>
      </x:c>
      <x:c r="I40" s="30" t="str">
        <x:v>Coherente con SRS, casos de uso y base stayfit.</x:v>
      </x:c>
      <x:c r="J40" s="28"/>
    </x:row>
    <x:row r="41" ht="54" customHeight="1">
      <x:c r="A41" s="30" t="str">
        <x:v>HU-COM-038</x:v>
      </x:c>
      <x:c r="B41" s="30" t="str">
        <x:v>RF-038</x:v>
      </x:c>
      <x:c r="C41" s="30" t="str">
        <x:v>CU-38</x:v>
      </x:c>
      <x:c r="D41" s="30" t="str">
        <x:v>Sistema</x:v>
      </x:c>
      <x:c r="E41" s="30" t="str">
        <x:v>DA-COM-038_Mensajes_motivacionales_automaticos.drawio</x:v>
      </x:c>
      <x:c r="F41" s="30" t="str">
        <x:v>DS-COM-038_Mensajes_motivacionales_automaticos.drawio</x:v>
      </x:c>
      <x:c r="G41" s="30" t="str">
        <x:v>notificaciones</x:v>
      </x:c>
      <x:c r="H41" s="30" t="str">
        <x:v>Comunicación y notificaciones</x:v>
      </x:c>
      <x:c r="I41" s="30" t="str">
        <x:v>Coherente con SRS, casos de uso y base stayfit.</x:v>
      </x:c>
      <x:c r="J41" s="28"/>
    </x:row>
    <x:row r="42" ht="54" customHeight="1">
      <x:c r="A42" s="30" t="str">
        <x:v>HU-COM-039</x:v>
      </x:c>
      <x:c r="B42" s="30" t="str">
        <x:v>RF-039</x:v>
      </x:c>
      <x:c r="C42" s="30" t="str">
        <x:v>CU-39</x:v>
      </x:c>
      <x:c r="D42" s="30" t="str">
        <x:v>Sistema</x:v>
      </x:c>
      <x:c r="E42" s="30" t="str">
        <x:v>DA-COM-039_Notificaciones_del_sistema.drawio</x:v>
      </x:c>
      <x:c r="F42" s="30" t="str">
        <x:v>DS-COM-039_Notificaciones_del_sistema.drawio</x:v>
      </x:c>
      <x:c r="G42" s="30" t="str">
        <x:v>notificaciones</x:v>
      </x:c>
      <x:c r="H42" s="30" t="str">
        <x:v>Comunicación y notificaciones</x:v>
      </x:c>
      <x:c r="I42" s="30" t="str">
        <x:v>Coherente con SRS, casos de uso y base stayfit.</x:v>
      </x:c>
      <x:c r="J42" s="28"/>
    </x:row>
    <x:row r="43" ht="54" customHeight="1">
      <x:c r="A43" s="30" t="str">
        <x:v>HU-AGE-040</x:v>
      </x:c>
      <x:c r="B43" s="30" t="str">
        <x:v>RF-040</x:v>
      </x:c>
      <x:c r="C43" s="30" t="str">
        <x:v>CU-40</x:v>
      </x:c>
      <x:c r="D43" s="30" t="str">
        <x:v>Coach</x:v>
      </x:c>
      <x:c r="E43" s="30" t="str">
        <x:v>DA-AGE-040_Agenda_de_entrenamientos_del_coach.drawio</x:v>
      </x:c>
      <x:c r="F43" s="30" t="str">
        <x:v>DS-AGE-040_Agenda_de_entrenamientos_del_coach.drawio</x:v>
      </x:c>
      <x:c r="G43" s="30" t="str">
        <x:v>sesiones, coaches</x:v>
      </x:c>
      <x:c r="H43" s="30" t="str">
        <x:v>Agenda, sesiones y eventos</x:v>
      </x:c>
      <x:c r="I43" s="30" t="str">
        <x:v>Coherente con SRS, casos de uso y base stayfit.</x:v>
      </x:c>
      <x:c r="J43" s="28"/>
    </x:row>
    <x:row r="44" ht="54" customHeight="1">
      <x:c r="A44" s="30" t="str">
        <x:v>HU-AGE-041</x:v>
      </x:c>
      <x:c r="B44" s="30" t="str">
        <x:v>RF-041</x:v>
      </x:c>
      <x:c r="C44" s="30" t="str">
        <x:v>CU-41</x:v>
      </x:c>
      <x:c r="D44" s="30" t="str">
        <x:v>Cliente</x:v>
      </x:c>
      <x:c r="E44" s="30" t="str">
        <x:v>DA-AGE-041_Calendario_de_actividades_del_cliente.drawio</x:v>
      </x:c>
      <x:c r="F44" s="30" t="str">
        <x:v>DS-AGE-041_Calendario_de_actividades_del_cliente.drawio</x:v>
      </x:c>
      <x:c r="G44" s="30" t="str">
        <x:v>sesiones, sesion_participantes, eventos, evento_participantes</x:v>
      </x:c>
      <x:c r="H44" s="30" t="str">
        <x:v>Agenda, sesiones y eventos</x:v>
      </x:c>
      <x:c r="I44" s="30" t="str">
        <x:v>Coherente con SRS, casos de uso y base stayfit.</x:v>
      </x:c>
      <x:c r="J44" s="28"/>
    </x:row>
    <x:row r="45" ht="54" customHeight="1">
      <x:c r="A45" s="30" t="str">
        <x:v>HU-AGE-042</x:v>
      </x:c>
      <x:c r="B45" s="30" t="str">
        <x:v>RF-042</x:v>
      </x:c>
      <x:c r="C45" s="30" t="str">
        <x:v>CU-42</x:v>
      </x:c>
      <x:c r="D45" s="30" t="str">
        <x:v>Sistema</x:v>
      </x:c>
      <x:c r="E45" s="30" t="str">
        <x:v>DA-AGE-042_Recordatorios_automaticos.drawio</x:v>
      </x:c>
      <x:c r="F45" s="30" t="str">
        <x:v>DS-AGE-042_Recordatorios_automaticos.drawio</x:v>
      </x:c>
      <x:c r="G45" s="30" t="str">
        <x:v>notificaciones, sesiones, eventos</x:v>
      </x:c>
      <x:c r="H45" s="30" t="str">
        <x:v>Agenda, sesiones y eventos</x:v>
      </x:c>
      <x:c r="I45" s="30" t="str">
        <x:v>Coherente con SRS, casos de uso y base stayfit.</x:v>
      </x:c>
      <x:c r="J45" s="28"/>
    </x:row>
    <x:row r="46" ht="54" customHeight="1">
      <x:c r="A46" s="30" t="str">
        <x:v>HU-AGE-043</x:v>
      </x:c>
      <x:c r="B46" s="30" t="str">
        <x:v>RF-043</x:v>
      </x:c>
      <x:c r="C46" s="30" t="str">
        <x:v>CU-43</x:v>
      </x:c>
      <x:c r="D46" s="30" t="str">
        <x:v>Administrador / Coach</x:v>
      </x:c>
      <x:c r="E46" s="30" t="str">
        <x:v>DA-AGE-043_Gestion_de_eventos_y_talleres.drawio</x:v>
      </x:c>
      <x:c r="F46" s="30" t="str">
        <x:v>DS-AGE-043_Gestion_de_eventos_y_talleres.drawio</x:v>
      </x:c>
      <x:c r="G46" s="30" t="str">
        <x:v>eventos, evento_participantes</x:v>
      </x:c>
      <x:c r="H46" s="30" t="str">
        <x:v>Agenda, sesiones y eventos</x:v>
      </x:c>
      <x:c r="I46" s="30" t="str">
        <x:v>Coherente con SRS, casos de uso y base stayfit.</x:v>
      </x:c>
      <x:c r="J46" s="28"/>
    </x:row>
    <x:row r="47" ht="54" customHeight="1">
      <x:c r="A47" s="30" t="str">
        <x:v>HU-AGE-044</x:v>
      </x:c>
      <x:c r="B47" s="30" t="str">
        <x:v>RF-044</x:v>
      </x:c>
      <x:c r="C47" s="30" t="str">
        <x:v>CU-44</x:v>
      </x:c>
      <x:c r="D47" s="30" t="str">
        <x:v>Coach / Administrador</x:v>
      </x:c>
      <x:c r="E47" s="30" t="str">
        <x:v>DA-AGE-044_Gestion_de_participantes_en_sesiones_y_talleres_grupales.drawio</x:v>
      </x:c>
      <x:c r="F47" s="30" t="str">
        <x:v>DS-AGE-044_Gestion_de_participantes_en_sesiones_y_talleres_grupales.drawio</x:v>
      </x:c>
      <x:c r="G47" s="30" t="str">
        <x:v>sesion_participantes, evento_participantes, sesiones, eventos</x:v>
      </x:c>
      <x:c r="H47" s="30" t="str">
        <x:v>Agenda, sesiones y eventos</x:v>
      </x:c>
      <x:c r="I47" s="30" t="str">
        <x:v>Coherente con SRS, casos de uso y base stayfit.</x:v>
      </x:c>
      <x:c r="J47" s="28"/>
    </x:row>
    <x:row r="48" ht="54" customHeight="1">
      <x:c r="A48" s="30" t="str">
        <x:v>HU-AGE-045</x:v>
      </x:c>
      <x:c r="B48" s="30" t="str">
        <x:v>RF-045</x:v>
      </x:c>
      <x:c r="C48" s="30" t="str">
        <x:v>CU-45</x:v>
      </x:c>
      <x:c r="D48" s="30" t="str">
        <x:v>Coach</x:v>
      </x:c>
      <x:c r="E48" s="30" t="str">
        <x:v>DA-AGE-045_Gestion_de_disponibilidad_del_coach.drawio</x:v>
      </x:c>
      <x:c r="F48" s="30" t="str">
        <x:v>DS-AGE-045_Gestion_de_disponibilidad_del_coach.drawio</x:v>
      </x:c>
      <x:c r="G48" s="30" t="str">
        <x:v>sesiones, coaches</x:v>
      </x:c>
      <x:c r="H48" s="30" t="str">
        <x:v>Agenda, sesiones y eventos</x:v>
      </x:c>
      <x:c r="I48" s="30" t="str">
        <x:v>Coherente con SRS, casos de uso y base stayfit.</x:v>
      </x:c>
      <x:c r="J48" s="28"/>
    </x:row>
    <x:row r="49" ht="54" customHeight="1">
      <x:c r="A49" s="30" t="str">
        <x:v>HU-REP-046</x:v>
      </x:c>
      <x:c r="B49" s="30" t="str">
        <x:v>RF-046</x:v>
      </x:c>
      <x:c r="C49" s="30" t="str">
        <x:v>CU-46</x:v>
      </x:c>
      <x:c r="D49" s="30" t="str">
        <x:v>Coach</x:v>
      </x:c>
      <x:c r="E49" s="30" t="str">
        <x:v>DA-REP-046_Reportes_de_progreso_del_coach.drawio</x:v>
      </x:c>
      <x:c r="F49" s="30" t="str">
        <x:v>DS-REP-046_Reportes_de_progreso_del_coach.drawio</x:v>
      </x:c>
      <x:c r="G49" s="30" t="str">
        <x:v>reportes_generados, registros_progreso, clientes</x:v>
      </x:c>
      <x:c r="H49" s="30" t="str">
        <x:v>Reportes y analítica</x:v>
      </x:c>
      <x:c r="I49" s="30" t="str">
        <x:v>Coherente con SRS, casos de uso y base stayfit.</x:v>
      </x:c>
      <x:c r="J49" s="28"/>
    </x:row>
    <x:row r="50" ht="54" customHeight="1">
      <x:c r="A50" s="30" t="str">
        <x:v>HU-REP-047</x:v>
      </x:c>
      <x:c r="B50" s="30" t="str">
        <x:v>RF-047</x:v>
      </x:c>
      <x:c r="C50" s="30" t="str">
        <x:v>CU-47</x:v>
      </x:c>
      <x:c r="D50" s="30" t="str">
        <x:v>Administrador</x:v>
      </x:c>
      <x:c r="E50" s="30" t="str">
        <x:v>DA-REP-047_Reportes_administrativos.drawio</x:v>
      </x:c>
      <x:c r="F50" s="30" t="str">
        <x:v>DS-REP-047_Reportes_administrativos.drawio</x:v>
      </x:c>
      <x:c r="G50" s="30" t="str">
        <x:v>reportes_generados, user, clientes, planes, solicitudes_compra</x:v>
      </x:c>
      <x:c r="H50" s="30" t="str">
        <x:v>Reportes y analítica</x:v>
      </x:c>
      <x:c r="I50" s="30" t="str">
        <x:v>Coherente con SRS, casos de uso y base stayfit.</x:v>
      </x:c>
      <x:c r="J50" s="28"/>
    </x:row>
    <x:row r="51" ht="54" customHeight="1">
      <x:c r="A51" s="30" t="str">
        <x:v>HU-REP-048</x:v>
      </x:c>
      <x:c r="B51" s="30" t="str">
        <x:v>RF-048</x:v>
      </x:c>
      <x:c r="C51" s="30" t="str">
        <x:v>CU-48</x:v>
      </x:c>
      <x:c r="D51" s="30" t="str">
        <x:v>Administrador</x:v>
      </x:c>
      <x:c r="E51" s="30" t="str">
        <x:v>DA-REP-048_Reportes_de_pagos.drawio</x:v>
      </x:c>
      <x:c r="F51" s="30" t="str">
        <x:v>DS-REP-048_Reportes_de_pagos.drawio</x:v>
      </x:c>
      <x:c r="G51" s="30" t="str">
        <x:v>reportes_generados, pagos, solicitudes_compra</x:v>
      </x:c>
      <x:c r="H51" s="30" t="str">
        <x:v>Reportes y analítica</x:v>
      </x:c>
      <x:c r="I51" s="30" t="str">
        <x:v>Coherente con SRS, casos de uso y base stayfit.</x:v>
      </x:c>
      <x:c r="J51" s="28"/>
    </x:row>
    <x:row r="52" ht="54" customHeight="1">
      <x:c r="A52" s="30" t="str">
        <x:v>HU-REP-049</x:v>
      </x:c>
      <x:c r="B52" s="30" t="str">
        <x:v>RF-049</x:v>
      </x:c>
      <x:c r="C52" s="30" t="str">
        <x:v>CU-49</x:v>
      </x:c>
      <x:c r="D52" s="30" t="str">
        <x:v>Administrador</x:v>
      </x:c>
      <x:c r="E52" s="30" t="str">
        <x:v>DA-REP-049_Estadisticas_del_sistema.drawio</x:v>
      </x:c>
      <x:c r="F52" s="30" t="str">
        <x:v>DS-REP-049_Estadisticas_del_sistema.drawio</x:v>
      </x:c>
      <x:c r="G52" s="30" t="str">
        <x:v>reportes_generados, vw_cupos_planes, vw_clientes_activos, pagos</x:v>
      </x:c>
      <x:c r="H52" s="30" t="str">
        <x:v>Reportes y analítica</x:v>
      </x:c>
      <x:c r="I52" s="30" t="str">
        <x:v>Coherente con SRS, casos de uso y base stayfit.</x:v>
      </x:c>
      <x:c r="J52" s="28"/>
    </x:row>
    <x:row r="53" ht="54" customHeight="1">
      <x:c r="A53" s="30" t="str">
        <x:v>HU-COM-050</x:v>
      </x:c>
      <x:c r="B53" s="30" t="str">
        <x:v>RF-050</x:v>
      </x:c>
      <x:c r="C53" s="30" t="str">
        <x:v>CU-50</x:v>
      </x:c>
      <x:c r="D53" s="30" t="str">
        <x:v>Sistema</x:v>
      </x:c>
      <x:c r="E53" s="30" t="str">
        <x:v>DA-COM-050_Notificacion_de_pagos_pendientes.drawio</x:v>
      </x:c>
      <x:c r="F53" s="30" t="str">
        <x:v>DS-COM-050_Notificacion_de_pagos_pendientes.drawio</x:v>
      </x:c>
      <x:c r="G53" s="30" t="str">
        <x:v>notificaciones, pagos, solicitudes_compra</x:v>
      </x:c>
      <x:c r="H53" s="30" t="str">
        <x:v>Comunicación y notificaciones</x:v>
      </x:c>
      <x:c r="I53" s="30" t="str">
        <x:v>Coherente con SRS, casos de uso y base stayfit.</x:v>
      </x:c>
      <x:c r="J53" s="28"/>
    </x:row>
    <x:row r="54" ht="54" customHeight="1">
      <x:c r="A54" s="30" t="str">
        <x:v>HU-COM-051</x:v>
      </x:c>
      <x:c r="B54" s="30" t="str">
        <x:v>RF-051</x:v>
      </x:c>
      <x:c r="C54" s="30" t="str">
        <x:v>CU-51</x:v>
      </x:c>
      <x:c r="D54" s="30" t="str">
        <x:v>Sistema</x:v>
      </x:c>
      <x:c r="E54" s="30" t="str">
        <x:v>DA-COM-051_Notificacion_de_vencimiento_de_planes.drawio</x:v>
      </x:c>
      <x:c r="F54" s="30" t="str">
        <x:v>DS-COM-051_Notificacion_de_vencimiento_de_planes.drawio</x:v>
      </x:c>
      <x:c r="G54" s="30" t="str">
        <x:v>notificaciones, planes_cliente</x:v>
      </x:c>
      <x:c r="H54" s="30" t="str">
        <x:v>Comunicación y notificaciones</x:v>
      </x:c>
      <x:c r="I54" s="30" t="str">
        <x:v>Coherente con SRS, casos de uso y base stayfit.</x:v>
      </x:c>
      <x:c r="J54" s="28"/>
    </x:row>
    <x:row r="55" ht="54" customHeight="1">
      <x:c r="A55" s="30" t="str">
        <x:v>HU-COM-052</x:v>
      </x:c>
      <x:c r="B55" s="30" t="str">
        <x:v>RF-052</x:v>
      </x:c>
      <x:c r="C55" s="30" t="str">
        <x:v>CU-52</x:v>
      </x:c>
      <x:c r="D55" s="30" t="str">
        <x:v>Sistema</x:v>
      </x:c>
      <x:c r="E55" s="30" t="str">
        <x:v>DA-COM-052_Notificacion_de_nuevas_rutinas.drawio</x:v>
      </x:c>
      <x:c r="F55" s="30" t="str">
        <x:v>DS-COM-052_Notificacion_de_nuevas_rutinas.drawio</x:v>
      </x:c>
      <x:c r="G55" s="30" t="str">
        <x:v>notificaciones, rutinas</x:v>
      </x:c>
      <x:c r="H55" s="30" t="str">
        <x:v>Comunicación y notificaciones</x:v>
      </x:c>
      <x:c r="I55" s="30" t="str">
        <x:v>Coherente con SRS, casos de uso y base stayfit.</x:v>
      </x:c>
      <x:c r="J55" s="28"/>
    </x:row>
    <x:row r="56" ht="54" customHeight="1">
      <x:c r="A56" s="30" t="str">
        <x:v>HU-COM-053</x:v>
      </x:c>
      <x:c r="B56" s="30" t="str">
        <x:v>RF-053</x:v>
      </x:c>
      <x:c r="C56" s="30" t="str">
        <x:v>CU-53</x:v>
      </x:c>
      <x:c r="D56" s="30" t="str">
        <x:v>Sistema</x:v>
      </x:c>
      <x:c r="E56" s="30" t="str">
        <x:v>DA-COM-053_Notificacion_de_actualizacion_nutricional.drawio</x:v>
      </x:c>
      <x:c r="F56" s="30" t="str">
        <x:v>DS-COM-053_Notificacion_de_actualizacion_nutricional.drawio</x:v>
      </x:c>
      <x:c r="G56" s="30" t="str">
        <x:v>notificaciones, planes_nutricionales</x:v>
      </x:c>
      <x:c r="H56" s="30" t="str">
        <x:v>Comunicación y notificaciones</x:v>
      </x:c>
      <x:c r="I56" s="30" t="str">
        <x:v>Coherente con SRS, casos de uso y base stayfit.</x:v>
      </x:c>
      <x:c r="J56" s="28"/>
    </x:row>
    <x:row r="57" ht="54" customHeight="1">
      <x:c r="A57" s="30" t="str">
        <x:v>HU-INS-054</x:v>
      </x:c>
      <x:c r="B57" s="30" t="str">
        <x:v>RF-054</x:v>
      </x:c>
      <x:c r="C57" s="30" t="str">
        <x:v>CU-54</x:v>
      </x:c>
      <x:c r="D57" s="30" t="str">
        <x:v>Administrador</x:v>
      </x:c>
      <x:c r="E57" s="30" t="str">
        <x:v>DA-INS-054_Gestion_de_instituciones.drawio</x:v>
      </x:c>
      <x:c r="F57" s="30" t="str">
        <x:v>DS-INS-054_Gestion_de_instituciones.drawio</x:v>
      </x:c>
      <x:c r="G57" s="30" t="str">
        <x:v>instituciones</x:v>
      </x:c>
      <x:c r="H57" s="30" t="str">
        <x:v>Instituciones</x:v>
      </x:c>
      <x:c r="I57" s="30" t="str">
        <x:v>Coherente con SRS, casos de uso y base stayfit.</x:v>
      </x:c>
      <x:c r="J57" s="28"/>
    </x:row>
    <x:row r="58" ht="54" customHeight="1">
      <x:c r="A58" s="30" t="str">
        <x:v>HU-INS-055</x:v>
      </x:c>
      <x:c r="B58" s="30" t="str">
        <x:v>RF-055</x:v>
      </x:c>
      <x:c r="C58" s="30" t="str">
        <x:v>CU-55</x:v>
      </x:c>
      <x:c r="D58" s="30" t="str">
        <x:v>Administrador</x:v>
      </x:c>
      <x:c r="E58" s="30" t="str">
        <x:v>DA-INS-055_Vinculacion_de_clientes_a_instituciones.drawio</x:v>
      </x:c>
      <x:c r="F58" s="30" t="str">
        <x:v>DS-INS-055_Vinculacion_de_clientes_a_instituciones.drawio</x:v>
      </x:c>
      <x:c r="G58" s="30" t="str">
        <x:v>clientes, instituciones</x:v>
      </x:c>
      <x:c r="H58" s="30" t="str">
        <x:v>Instituciones</x:v>
      </x:c>
      <x:c r="I58" s="30" t="str">
        <x:v>Coherente con SRS, casos de uso y base stayfit.</x:v>
      </x:c>
      <x:c r="J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70" hidden="0" customWidth="1"/>
  </x:cols>
  <x:sheetData>
    <x:row r="1" ht="26" customHeight="1">
      <x:c r="A1" s="36" t="str">
        <x:v>Cobertura funcional por rol y módulo del sistema StayFit</x:v>
      </x:c>
      <x:c r="B1" s="36"/>
      <x:c r="C1" s="36"/>
      <x:c r="D1" s="36"/>
      <x:c r="E1" s="36"/>
      <x:c r="F1" s="36"/>
      <x:c r="G1" s="28"/>
      <x:c r="H1" s="28"/>
      <x:c r="I1" s="28"/>
      <x:c r="J1" s="28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</x:row>
    <x:row r="3" ht="30" customHeight="1">
      <x:c r="A3" s="39" t="str">
        <x:v>Módulo</x:v>
      </x:c>
      <x:c r="B3" s="39" t="str">
        <x:v>Administrador</x:v>
      </x:c>
      <x:c r="C3" s="39" t="str">
        <x:v>Coach</x:v>
      </x:c>
      <x:c r="D3" s="39" t="str">
        <x:v>Cliente</x:v>
      </x:c>
      <x:c r="E3" s="39" t="str">
        <x:v>Sistema</x:v>
      </x:c>
      <x:c r="F3" s="39" t="str">
        <x:v>Descripción</x:v>
      </x:c>
      <x:c r="G3" s="28"/>
      <x:c r="H3" s="28"/>
      <x:c r="I3" s="28"/>
      <x:c r="J3" s="28"/>
    </x:row>
    <x:row r="4" ht="38" customHeight="1">
      <x:c r="A4" s="30" t="str">
        <x:v>Usuarios y acceso</x:v>
      </x:c>
      <x:c r="B4" s="30" t="str">
        <x:v>Sí</x:v>
      </x:c>
      <x:c r="C4" s="30" t="str">
        <x:v>No</x:v>
      </x:c>
      <x:c r="D4" s="30" t="str">
        <x:v>Sí</x:v>
      </x:c>
      <x:c r="E4" s="30" t="str">
        <x:v>Sí</x:v>
      </x:c>
      <x:c r="F4" s="30" t="str">
        <x:v>Autenticación, recuperación, roles y gestión de usuarios.</x:v>
      </x:c>
      <x:c r="G4" s="28"/>
      <x:c r="H4" s="28"/>
      <x:c r="I4" s="28"/>
      <x:c r="J4" s="28"/>
    </x:row>
    <x:row r="5" ht="38" customHeight="1">
      <x:c r="A5" s="30" t="str">
        <x:v>Perfil y clientes</x:v>
      </x:c>
      <x:c r="B5" s="30" t="str">
        <x:v>Sí</x:v>
      </x:c>
      <x:c r="C5" s="30" t="str">
        <x:v>No</x:v>
      </x:c>
      <x:c r="D5" s="30" t="str">
        <x:v>Sí</x:v>
      </x:c>
      <x:c r="E5" s="30" t="str">
        <x:v>No</x:v>
      </x:c>
      <x:c r="F5" s="30" t="str">
        <x:v>Datos personales, físicos, cliente activo y asignación de coach.</x:v>
      </x:c>
      <x:c r="G5" s="28"/>
      <x:c r="H5" s="28"/>
      <x:c r="I5" s="28"/>
      <x:c r="J5" s="28"/>
    </x:row>
    <x:row r="6" ht="38" customHeight="1">
      <x:c r="A6" s="30" t="str">
        <x:v>Entrenamiento y contenido virtual</x:v>
      </x:c>
      <x:c r="B6" s="30" t="str">
        <x:v>Sí</x:v>
      </x:c>
      <x:c r="C6" s="30" t="str">
        <x:v>Sí</x:v>
      </x:c>
      <x:c r="D6" s="30" t="str">
        <x:v>Sí</x:v>
      </x:c>
      <x:c r="E6" s="30" t="str">
        <x:v>Sí</x:v>
      </x:c>
      <x:c r="F6" s="30" t="str">
        <x:v>Rutinas, ejercicios, material, programas virtuales y progreso de videos.</x:v>
      </x:c>
      <x:c r="G6" s="28"/>
      <x:c r="H6" s="28"/>
      <x:c r="I6" s="28"/>
      <x:c r="J6" s="28"/>
    </x:row>
    <x:row r="7" ht="38" customHeight="1">
      <x:c r="A7" s="30" t="str">
        <x:v>Nutrición</x:v>
      </x:c>
      <x:c r="B7" s="30" t="str">
        <x:v>Sí</x:v>
      </x:c>
      <x:c r="C7" s="30" t="str">
        <x:v>Sí</x:v>
      </x:c>
      <x:c r="D7" s="30" t="str">
        <x:v>Sí</x:v>
      </x:c>
      <x:c r="E7" s="30" t="str">
        <x:v>Sí</x:v>
      </x:c>
      <x:c r="F7" s="30" t="str">
        <x:v>Planes nutricionales, comidas y recomendaciones.</x:v>
      </x:c>
      <x:c r="G7" s="28"/>
      <x:c r="H7" s="28"/>
      <x:c r="I7" s="28"/>
      <x:c r="J7" s="28"/>
    </x:row>
    <x:row r="8" ht="38" customHeight="1">
      <x:c r="A8" s="30" t="str">
        <x:v>Progreso</x:v>
      </x:c>
      <x:c r="B8" s="30" t="str">
        <x:v>Sí</x:v>
      </x:c>
      <x:c r="C8" s="30" t="str">
        <x:v>Sí</x:v>
      </x:c>
      <x:c r="D8" s="30" t="str">
        <x:v>Sí</x:v>
      </x:c>
      <x:c r="E8" s="30" t="str">
        <x:v>Sí</x:v>
      </x:c>
      <x:c r="F8" s="30" t="str">
        <x:v>Registros físicos, historial, fotos y observaciones.</x:v>
      </x:c>
      <x:c r="G8" s="28"/>
      <x:c r="H8" s="28"/>
      <x:c r="I8" s="28"/>
      <x:c r="J8" s="28"/>
    </x:row>
    <x:row r="9" ht="38" customHeight="1">
      <x:c r="A9" s="30" t="str">
        <x:v>Pagos, solicitudes, cupos y acceso</x:v>
      </x:c>
      <x:c r="B9" s="30" t="str">
        <x:v>Sí</x:v>
      </x:c>
      <x:c r="C9" s="30" t="str">
        <x:v>No</x:v>
      </x:c>
      <x:c r="D9" s="30" t="str">
        <x:v>Sí</x:v>
      </x:c>
      <x:c r="E9" s="30" t="str">
        <x:v>Sí</x:v>
      </x:c>
      <x:c r="F9" s="30" t="str">
        <x:v>Planes, cupos, comprobantes, solicitudes, pagos y habilitación de módulos.</x:v>
      </x:c>
      <x:c r="G9" s="28"/>
      <x:c r="H9" s="28"/>
      <x:c r="I9" s="28"/>
      <x:c r="J9" s="28"/>
    </x:row>
    <x:row r="10" ht="38" customHeight="1">
      <x:c r="A10" s="30" t="str">
        <x:v>Comunicación y notificaciones</x:v>
      </x:c>
      <x:c r="B10" s="30" t="str">
        <x:v>Sí</x:v>
      </x:c>
      <x:c r="C10" s="30" t="str">
        <x:v>Sí</x:v>
      </x:c>
      <x:c r="D10" s="30" t="str">
        <x:v>Sí</x:v>
      </x:c>
      <x:c r="E10" s="30" t="str">
        <x:v>Sí</x:v>
      </x:c>
      <x:c r="F10" s="30" t="str">
        <x:v>Chats, mensajes, difusión y notificaciones del sistema.</x:v>
      </x:c>
      <x:c r="G10" s="28"/>
      <x:c r="H10" s="28"/>
      <x:c r="I10" s="28"/>
      <x:c r="J10" s="28"/>
    </x:row>
    <x:row r="11" ht="38" customHeight="1">
      <x:c r="A11" s="30" t="str">
        <x:v>Agenda, sesiones y eventos</x:v>
      </x:c>
      <x:c r="B11" s="30" t="str">
        <x:v>Sí</x:v>
      </x:c>
      <x:c r="C11" s="30" t="str">
        <x:v>Sí</x:v>
      </x:c>
      <x:c r="D11" s="30" t="str">
        <x:v>Sí</x:v>
      </x:c>
      <x:c r="E11" s="30" t="str">
        <x:v>Sí</x:v>
      </x:c>
      <x:c r="F11" s="30" t="str">
        <x:v>Sesiones, calendario, recordatorios, eventos, talleres y asistencia.</x:v>
      </x:c>
      <x:c r="G11" s="28"/>
      <x:c r="H11" s="28"/>
      <x:c r="I11" s="28"/>
      <x:c r="J11" s="28"/>
    </x:row>
    <x:row r="12" ht="38" customHeight="1">
      <x:c r="A12" s="30" t="str">
        <x:v>Reportes y analítica</x:v>
      </x:c>
      <x:c r="B12" s="30" t="str">
        <x:v>Sí</x:v>
      </x:c>
      <x:c r="C12" s="30" t="str">
        <x:v>Sí</x:v>
      </x:c>
      <x:c r="D12" s="30" t="str">
        <x:v>No</x:v>
      </x:c>
      <x:c r="E12" s="30" t="str">
        <x:v>Sí</x:v>
      </x:c>
      <x:c r="F12" s="30" t="str">
        <x:v>Reportes administrativos, pagos, progreso y estadísticas.</x:v>
      </x:c>
      <x:c r="G12" s="28"/>
      <x:c r="H12" s="28"/>
      <x:c r="I12" s="28"/>
      <x:c r="J12" s="28"/>
    </x:row>
    <x:row r="13" ht="38" customHeight="1">
      <x:c r="A13" s="30" t="str">
        <x:v>Instituciones</x:v>
      </x:c>
      <x:c r="B13" s="30" t="str">
        <x:v>Sí</x:v>
      </x:c>
      <x:c r="C13" s="30" t="str">
        <x:v>No</x:v>
      </x:c>
      <x:c r="D13" s="30" t="str">
        <x:v>No</x:v>
      </x:c>
      <x:c r="E13" s="30" t="str">
        <x:v>No</x:v>
      </x:c>
      <x:c r="F13" s="30" t="str">
        <x:v>Instituciones, convenios y vinculación de clientes institucionales.</x:v>
      </x:c>
      <x:c r="G13" s="28"/>
      <x:c r="H13" s="28"/>
      <x:c r="I13" s="28"/>
      <x:c r="J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</x:row>
  </x:sheetData>
  <x:mergeCells>
    <x:mergeCell ref="A1:F1"/>
  </x:mergeCells>
  <x:pageMargins left="0.7" right="0.7" top="0.75" bottom="0.75" header="0.3" footer="0.3"/>
</x:worksheet>
</file>